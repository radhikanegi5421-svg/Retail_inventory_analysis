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Cleaned_Data" sheetId="2" state="visible" r:id="rId4"/>
    <sheet name="Cleaning_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<sst xmlns="http://schemas.openxmlformats.org/spreadsheetml/2006/main" count="1078" uniqueCount="436">
  <si>
    <t xml:space="preserve">SKU_ID</t>
  </si>
  <si>
    <t xml:space="preserve">Product_Name</t>
  </si>
  <si>
    <t xml:space="preserve">Category</t>
  </si>
  <si>
    <t xml:space="preserve">Warehouse</t>
  </si>
  <si>
    <t xml:space="preserve">Stock_Qty</t>
  </si>
  <si>
    <t xml:space="preserve">Unit_Price</t>
  </si>
  <si>
    <t xml:space="preserve">Reorder_Level</t>
  </si>
  <si>
    <t xml:space="preserve">Supplier</t>
  </si>
  <si>
    <t xml:space="preserve">Last_Restock_Date</t>
  </si>
  <si>
    <t xml:space="preserve">SKU1070</t>
  </si>
  <si>
    <t xml:space="preserve">  Bookshelf 3-Tier  </t>
  </si>
  <si>
    <t xml:space="preserve">Furniture</t>
  </si>
  <si>
    <t xml:space="preserve">WH South</t>
  </si>
  <si>
    <t xml:space="preserve">Nova Wholesale</t>
  </si>
  <si>
    <t xml:space="preserve">11/01/2025</t>
  </si>
  <si>
    <t xml:space="preserve">SKU1114</t>
  </si>
  <si>
    <t xml:space="preserve">Track Pants</t>
  </si>
  <si>
    <t xml:space="preserve">APPAREL</t>
  </si>
  <si>
    <t xml:space="preserve">Fine Goods Pvt Ltd</t>
  </si>
  <si>
    <t xml:space="preserve">15-05-2025</t>
  </si>
  <si>
    <t xml:space="preserve">SKU1097</t>
  </si>
  <si>
    <t xml:space="preserve">Sneakers Unisex</t>
  </si>
  <si>
    <t xml:space="preserve">footwear</t>
  </si>
  <si>
    <t xml:space="preserve">WH North </t>
  </si>
  <si>
    <t xml:space="preserve">Metro Distributors</t>
  </si>
  <si>
    <t xml:space="preserve">09-01-2025</t>
  </si>
  <si>
    <t xml:space="preserve">SKU1158</t>
  </si>
  <si>
    <t xml:space="preserve">Board Game</t>
  </si>
  <si>
    <t xml:space="preserve">Toys</t>
  </si>
  <si>
    <t xml:space="preserve"> WH-South</t>
  </si>
  <si>
    <t xml:space="preserve">13-06-2025</t>
  </si>
  <si>
    <t xml:space="preserve">SKU1058</t>
  </si>
  <si>
    <t xml:space="preserve">Iron Box Steam</t>
  </si>
  <si>
    <t xml:space="preserve">HOME APPLIANCES</t>
  </si>
  <si>
    <t xml:space="preserve">wh-south</t>
  </si>
  <si>
    <t xml:space="preserve">23-05-2025</t>
  </si>
  <si>
    <t xml:space="preserve">SKU1001</t>
  </si>
  <si>
    <t xml:space="preserve">  LED Bulb 9W  </t>
  </si>
  <si>
    <t xml:space="preserve">Electronics</t>
  </si>
  <si>
    <t xml:space="preserve">WH-North</t>
  </si>
  <si>
    <t xml:space="preserve">Prime Vendors</t>
  </si>
  <si>
    <t xml:space="preserve">27-01-2025</t>
  </si>
  <si>
    <t xml:space="preserve">SKU1159</t>
  </si>
  <si>
    <t xml:space="preserve">WH-East</t>
  </si>
  <si>
    <t xml:space="preserve">Global Supply Co</t>
  </si>
  <si>
    <t xml:space="preserve">23/04/2025</t>
  </si>
  <si>
    <t xml:space="preserve">SKU1064</t>
  </si>
  <si>
    <t xml:space="preserve">  Plastic Chair  </t>
  </si>
  <si>
    <t xml:space="preserve">WH-West </t>
  </si>
  <si>
    <t xml:space="preserve">30-01-2025</t>
  </si>
  <si>
    <t xml:space="preserve">SKU1157</t>
  </si>
  <si>
    <t xml:space="preserve">  Board Game  </t>
  </si>
  <si>
    <t xml:space="preserve">TOYS</t>
  </si>
  <si>
    <t xml:space="preserve">28-03-2025</t>
  </si>
  <si>
    <t xml:space="preserve">SKU1037</t>
  </si>
  <si>
    <t xml:space="preserve">Stapler Small</t>
  </si>
  <si>
    <t xml:space="preserve">Stationery</t>
  </si>
  <si>
    <t xml:space="preserve">Warehouse North</t>
  </si>
  <si>
    <t xml:space="preserve">10/05/2025</t>
  </si>
  <si>
    <t xml:space="preserve">SKU1139</t>
  </si>
  <si>
    <t xml:space="preserve">Cutlery Set</t>
  </si>
  <si>
    <t xml:space="preserve">Kitchenware</t>
  </si>
  <si>
    <t xml:space="preserve">03-04-2025</t>
  </si>
  <si>
    <t xml:space="preserve">SKU1055</t>
  </si>
  <si>
    <t xml:space="preserve">Room Heater 1000W</t>
  </si>
  <si>
    <t xml:space="preserve">home appliances</t>
  </si>
  <si>
    <t xml:space="preserve">SKU1112</t>
  </si>
  <si>
    <t xml:space="preserve">Formal Shirt</t>
  </si>
  <si>
    <t xml:space="preserve">wh-west</t>
  </si>
  <si>
    <t xml:space="preserve">05/04/2025</t>
  </si>
  <si>
    <t xml:space="preserve">SKU1131</t>
  </si>
  <si>
    <t xml:space="preserve">Pressure Cooker 3L</t>
  </si>
  <si>
    <t xml:space="preserve">04-07-2025</t>
  </si>
  <si>
    <t xml:space="preserve">SKU1002</t>
  </si>
  <si>
    <t xml:space="preserve">LED Bulb 9W</t>
  </si>
  <si>
    <t xml:space="preserve">18-04-2025</t>
  </si>
  <si>
    <t xml:space="preserve">SKU1084</t>
  </si>
  <si>
    <t xml:space="preserve">Running Shoes Men</t>
  </si>
  <si>
    <t xml:space="preserve">30-06-2025</t>
  </si>
  <si>
    <t xml:space="preserve">SKU1102</t>
  </si>
  <si>
    <t xml:space="preserve">Cotton T-Shirt</t>
  </si>
  <si>
    <t xml:space="preserve">Sharma Traders</t>
  </si>
  <si>
    <t xml:space="preserve">02/05/2025</t>
  </si>
  <si>
    <t xml:space="preserve">SKU1038</t>
  </si>
  <si>
    <t xml:space="preserve">07-06-2025</t>
  </si>
  <si>
    <t xml:space="preserve">SKU1108</t>
  </si>
  <si>
    <t xml:space="preserve">Denim Jeans</t>
  </si>
  <si>
    <t xml:space="preserve">Apparel</t>
  </si>
  <si>
    <t xml:space="preserve">WH-West</t>
  </si>
  <si>
    <t xml:space="preserve">11-08-2025</t>
  </si>
  <si>
    <t xml:space="preserve">SKU1011</t>
  </si>
  <si>
    <t xml:space="preserve">Bluetooth Speaker</t>
  </si>
  <si>
    <t xml:space="preserve">electronics</t>
  </si>
  <si>
    <t xml:space="preserve">Warehouse East</t>
  </si>
  <si>
    <t xml:space="preserve">SKU1016</t>
  </si>
  <si>
    <t xml:space="preserve">Power Bank 10000mAh</t>
  </si>
  <si>
    <t xml:space="preserve">02/03/2025</t>
  </si>
  <si>
    <t xml:space="preserve">SKU1071</t>
  </si>
  <si>
    <t xml:space="preserve">Bookshelf 3-Tier</t>
  </si>
  <si>
    <t xml:space="preserve">furniture</t>
  </si>
  <si>
    <t xml:space="preserve">30/07/2025</t>
  </si>
  <si>
    <t xml:space="preserve">SKU1106</t>
  </si>
  <si>
    <t xml:space="preserve">22-03-2025</t>
  </si>
  <si>
    <t xml:space="preserve">SKU1053</t>
  </si>
  <si>
    <t xml:space="preserve">Home Appliances</t>
  </si>
  <si>
    <t xml:space="preserve">29-05-2025</t>
  </si>
  <si>
    <t xml:space="preserve">SKU1099</t>
  </si>
  <si>
    <t xml:space="preserve">06-01-2025</t>
  </si>
  <si>
    <t xml:space="preserve">SKU1081</t>
  </si>
  <si>
    <t xml:space="preserve">FOOTWEAR</t>
  </si>
  <si>
    <t xml:space="preserve">26-03-2025</t>
  </si>
  <si>
    <t xml:space="preserve">SKU1060</t>
  </si>
  <si>
    <t xml:space="preserve">21/05/2025</t>
  </si>
  <si>
    <t xml:space="preserve">SKU1109</t>
  </si>
  <si>
    <t xml:space="preserve">31-03-2025</t>
  </si>
  <si>
    <t xml:space="preserve">SKU1085</t>
  </si>
  <si>
    <t xml:space="preserve">  Sandals Women  </t>
  </si>
  <si>
    <t xml:space="preserve">wh-north</t>
  </si>
  <si>
    <t xml:space="preserve">16/05/2025</t>
  </si>
  <si>
    <t xml:space="preserve">SKU1008</t>
  </si>
  <si>
    <t xml:space="preserve">USB Cable Type-C</t>
  </si>
  <si>
    <t xml:space="preserve">28-04-2025</t>
  </si>
  <si>
    <t xml:space="preserve">SKU1100</t>
  </si>
  <si>
    <t xml:space="preserve">Footwear</t>
  </si>
  <si>
    <t xml:space="preserve">SKU1017</t>
  </si>
  <si>
    <t xml:space="preserve">Wall Charger 20W</t>
  </si>
  <si>
    <t xml:space="preserve">18-02-2025</t>
  </si>
  <si>
    <t xml:space="preserve">SKU1023</t>
  </si>
  <si>
    <t xml:space="preserve">Gel Pen Blue</t>
  </si>
  <si>
    <t xml:space="preserve">STATIONERY</t>
  </si>
  <si>
    <t xml:space="preserve">05-03-2025</t>
  </si>
  <si>
    <t xml:space="preserve">SKU1136</t>
  </si>
  <si>
    <t xml:space="preserve">Water Bottle 1L</t>
  </si>
  <si>
    <t xml:space="preserve">28-06-2025</t>
  </si>
  <si>
    <t xml:space="preserve">SKU1151</t>
  </si>
  <si>
    <t xml:space="preserve">Puzzle 100pc</t>
  </si>
  <si>
    <t xml:space="preserve">20/06/2025</t>
  </si>
  <si>
    <t xml:space="preserve">SKU1080</t>
  </si>
  <si>
    <t xml:space="preserve">Storage Rack</t>
  </si>
  <si>
    <t xml:space="preserve">12/01/2025</t>
  </si>
  <si>
    <t xml:space="preserve">SKU1146</t>
  </si>
  <si>
    <t xml:space="preserve">  Remote Car  </t>
  </si>
  <si>
    <t xml:space="preserve">07/06/2025</t>
  </si>
  <si>
    <t xml:space="preserve">SKU1088</t>
  </si>
  <si>
    <t xml:space="preserve">Sandals Women</t>
  </si>
  <si>
    <t xml:space="preserve">17-03-2025</t>
  </si>
  <si>
    <t xml:space="preserve">SKU1098</t>
  </si>
  <si>
    <t xml:space="preserve">  Sneakers Unisex  </t>
  </si>
  <si>
    <t xml:space="preserve">02-04-2025</t>
  </si>
  <si>
    <t xml:space="preserve">SKU1148</t>
  </si>
  <si>
    <t xml:space="preserve">Remote Car</t>
  </si>
  <si>
    <t xml:space="preserve">26/04/2025</t>
  </si>
  <si>
    <t xml:space="preserve">SKU1124</t>
  </si>
  <si>
    <t xml:space="preserve">  Non-Stick Pan  </t>
  </si>
  <si>
    <t xml:space="preserve">kitchenware</t>
  </si>
  <si>
    <t xml:space="preserve">27/07/2025</t>
  </si>
  <si>
    <t xml:space="preserve">SKU1142</t>
  </si>
  <si>
    <t xml:space="preserve">Building Blocks Set</t>
  </si>
  <si>
    <t xml:space="preserve">27/08/2025</t>
  </si>
  <si>
    <t xml:space="preserve">SKU1036</t>
  </si>
  <si>
    <t xml:space="preserve">Whiteboard Marker</t>
  </si>
  <si>
    <t xml:space="preserve">WH west</t>
  </si>
  <si>
    <t xml:space="preserve">29-08-2025</t>
  </si>
  <si>
    <t xml:space="preserve">SKU1057</t>
  </si>
  <si>
    <t xml:space="preserve">08/04/2025</t>
  </si>
  <si>
    <t xml:space="preserve">SKU1152</t>
  </si>
  <si>
    <t xml:space="preserve">  Puzzle 100pc  </t>
  </si>
  <si>
    <t xml:space="preserve">22-07-2025</t>
  </si>
  <si>
    <t xml:space="preserve">SKU1009</t>
  </si>
  <si>
    <t xml:space="preserve">ELECTRONICS</t>
  </si>
  <si>
    <t xml:space="preserve">11/05/2025</t>
  </si>
  <si>
    <t xml:space="preserve">SKU1046</t>
  </si>
  <si>
    <t xml:space="preserve">Table Fan 16in</t>
  </si>
  <si>
    <t xml:space="preserve">17-04-2025</t>
  </si>
  <si>
    <t xml:space="preserve">SKU1082</t>
  </si>
  <si>
    <t xml:space="preserve">20/07/2025</t>
  </si>
  <si>
    <t xml:space="preserve">SKU1047</t>
  </si>
  <si>
    <t xml:space="preserve">02/01/2025</t>
  </si>
  <si>
    <t xml:space="preserve">SKU1089</t>
  </si>
  <si>
    <t xml:space="preserve">Formal Shoes Men</t>
  </si>
  <si>
    <t xml:space="preserve">10/07/2025</t>
  </si>
  <si>
    <t xml:space="preserve">SKU1135</t>
  </si>
  <si>
    <t xml:space="preserve">KITCHENWARE</t>
  </si>
  <si>
    <t xml:space="preserve">06-04-2025</t>
  </si>
  <si>
    <t xml:space="preserve">SKU1083</t>
  </si>
  <si>
    <t xml:space="preserve">12-08-2025</t>
  </si>
  <si>
    <t xml:space="preserve">SKU1143</t>
  </si>
  <si>
    <t xml:space="preserve">11-03-2025</t>
  </si>
  <si>
    <t xml:space="preserve">SKU1134</t>
  </si>
  <si>
    <t xml:space="preserve">  Water Bottle 1L  </t>
  </si>
  <si>
    <t xml:space="preserve">11/03/2025</t>
  </si>
  <si>
    <t xml:space="preserve">SKU1113</t>
  </si>
  <si>
    <t xml:space="preserve">05-05-2025</t>
  </si>
  <si>
    <t xml:space="preserve">SKU1144</t>
  </si>
  <si>
    <t xml:space="preserve">05-04-2025</t>
  </si>
  <si>
    <t xml:space="preserve">SKU1045</t>
  </si>
  <si>
    <t xml:space="preserve">  Table Fan 16in  </t>
  </si>
  <si>
    <t xml:space="preserve">27/03/2025</t>
  </si>
  <si>
    <t xml:space="preserve">SKU1137</t>
  </si>
  <si>
    <t xml:space="preserve">SKU1010</t>
  </si>
  <si>
    <t xml:space="preserve">WH-South</t>
  </si>
  <si>
    <t xml:space="preserve">SKU1027</t>
  </si>
  <si>
    <t xml:space="preserve">A4 Notebook 200pg</t>
  </si>
  <si>
    <t xml:space="preserve">wh-east </t>
  </si>
  <si>
    <t xml:space="preserve">SKU1105</t>
  </si>
  <si>
    <t xml:space="preserve">16-06-2025</t>
  </si>
  <si>
    <t xml:space="preserve">SKU1029</t>
  </si>
  <si>
    <t xml:space="preserve">Sticky Notes Pack</t>
  </si>
  <si>
    <t xml:space="preserve">24-05-2025</t>
  </si>
  <si>
    <t xml:space="preserve">SKU1090</t>
  </si>
  <si>
    <t xml:space="preserve">03-08-2025</t>
  </si>
  <si>
    <t xml:space="preserve">SKU1133</t>
  </si>
  <si>
    <t xml:space="preserve">05/02/2025</t>
  </si>
  <si>
    <t xml:space="preserve">SKU1086</t>
  </si>
  <si>
    <t xml:space="preserve">13/06/2025</t>
  </si>
  <si>
    <t xml:space="preserve">SKU1132</t>
  </si>
  <si>
    <t xml:space="preserve">SKU1032</t>
  </si>
  <si>
    <t xml:space="preserve">  Sticky Notes Pack  </t>
  </si>
  <si>
    <t xml:space="preserve">SKU1140</t>
  </si>
  <si>
    <t xml:space="preserve">  Cutlery Set  </t>
  </si>
  <si>
    <t xml:space="preserve">30-03-2025</t>
  </si>
  <si>
    <t xml:space="preserve">SKU1049</t>
  </si>
  <si>
    <t xml:space="preserve">Mixer Grinder 500W</t>
  </si>
  <si>
    <t xml:space="preserve">07/01/2025</t>
  </si>
  <si>
    <t xml:space="preserve">SKU1075</t>
  </si>
  <si>
    <t xml:space="preserve">Study Table</t>
  </si>
  <si>
    <t xml:space="preserve">21-05-2025</t>
  </si>
  <si>
    <t xml:space="preserve">SKU1022</t>
  </si>
  <si>
    <t xml:space="preserve">03-05-2025</t>
  </si>
  <si>
    <t xml:space="preserve">SKU1007</t>
  </si>
  <si>
    <t xml:space="preserve">28-02-2025</t>
  </si>
  <si>
    <t xml:space="preserve">SKU1030</t>
  </si>
  <si>
    <t xml:space="preserve">02-02-2025</t>
  </si>
  <si>
    <t xml:space="preserve">SKU1141</t>
  </si>
  <si>
    <t xml:space="preserve">11-06-2025</t>
  </si>
  <si>
    <t xml:space="preserve">SKU1034</t>
  </si>
  <si>
    <t xml:space="preserve">  Whiteboard Marker  </t>
  </si>
  <si>
    <t xml:space="preserve">13-04-2025</t>
  </si>
  <si>
    <t xml:space="preserve">SKU1129</t>
  </si>
  <si>
    <t xml:space="preserve">05-02-2025</t>
  </si>
  <si>
    <t xml:space="preserve">SKU1077</t>
  </si>
  <si>
    <t xml:space="preserve">17/04/2025</t>
  </si>
  <si>
    <t xml:space="preserve">SKU1004</t>
  </si>
  <si>
    <t xml:space="preserve">21-01-2025</t>
  </si>
  <si>
    <t xml:space="preserve">SKU1040</t>
  </si>
  <si>
    <t xml:space="preserve">stationery</t>
  </si>
  <si>
    <t xml:space="preserve">24-01-2025</t>
  </si>
  <si>
    <t xml:space="preserve">SKU1054</t>
  </si>
  <si>
    <t xml:space="preserve">03-06-2025</t>
  </si>
  <si>
    <t xml:space="preserve">SKU1015</t>
  </si>
  <si>
    <t xml:space="preserve">  Power Bank 10000mAh  </t>
  </si>
  <si>
    <t xml:space="preserve">SKU1155</t>
  </si>
  <si>
    <t xml:space="preserve">Soft Toy Bear</t>
  </si>
  <si>
    <t xml:space="preserve">28-08-2025</t>
  </si>
  <si>
    <t xml:space="preserve">SKU1117</t>
  </si>
  <si>
    <t xml:space="preserve">  Winter Jacket  </t>
  </si>
  <si>
    <t xml:space="preserve">01-07-2025</t>
  </si>
  <si>
    <t xml:space="preserve">SKU1048</t>
  </si>
  <si>
    <t xml:space="preserve">SKU1154</t>
  </si>
  <si>
    <t xml:space="preserve">toys</t>
  </si>
  <si>
    <t xml:space="preserve">SKU1115</t>
  </si>
  <si>
    <t xml:space="preserve">16/03/2025</t>
  </si>
  <si>
    <t xml:space="preserve">SKU1160</t>
  </si>
  <si>
    <t xml:space="preserve">14/07/2025</t>
  </si>
  <si>
    <t xml:space="preserve">SKU1013</t>
  </si>
  <si>
    <t xml:space="preserve">22-01-2025</t>
  </si>
  <si>
    <t xml:space="preserve">SKU1063</t>
  </si>
  <si>
    <t xml:space="preserve">Plastic Chair</t>
  </si>
  <si>
    <t xml:space="preserve">FURNITURE</t>
  </si>
  <si>
    <t xml:space="preserve">11/08/2025</t>
  </si>
  <si>
    <t xml:space="preserve">SKU1069</t>
  </si>
  <si>
    <t xml:space="preserve">02-06-2025</t>
  </si>
  <si>
    <t xml:space="preserve">SKU1110</t>
  </si>
  <si>
    <t xml:space="preserve">  Formal Shirt  </t>
  </si>
  <si>
    <t xml:space="preserve">14-06-2025</t>
  </si>
  <si>
    <t xml:space="preserve">SKU1123</t>
  </si>
  <si>
    <t xml:space="preserve">Non-Stick Pan</t>
  </si>
  <si>
    <t xml:space="preserve">22-05-2025</t>
  </si>
  <si>
    <t xml:space="preserve">SKU1044</t>
  </si>
  <si>
    <t xml:space="preserve">Electric Kettle 1.5L</t>
  </si>
  <si>
    <t xml:space="preserve">SKU1076</t>
  </si>
  <si>
    <t xml:space="preserve">15-04-2025</t>
  </si>
  <si>
    <t xml:space="preserve">SKU1039</t>
  </si>
  <si>
    <t xml:space="preserve">24/04/2025</t>
  </si>
  <si>
    <t xml:space="preserve">SKU1095</t>
  </si>
  <si>
    <t xml:space="preserve">  Sports Sandals  </t>
  </si>
  <si>
    <t xml:space="preserve">19-03-2025</t>
  </si>
  <si>
    <t xml:space="preserve">SKU1107</t>
  </si>
  <si>
    <t xml:space="preserve">09/07/2025</t>
  </si>
  <si>
    <t xml:space="preserve">SKU1051</t>
  </si>
  <si>
    <t xml:space="preserve">18-01-2025</t>
  </si>
  <si>
    <t xml:space="preserve">SKU1021</t>
  </si>
  <si>
    <t xml:space="preserve">  Gel Pen Blue  </t>
  </si>
  <si>
    <t xml:space="preserve">19-04-2025</t>
  </si>
  <si>
    <t xml:space="preserve">SKU1041</t>
  </si>
  <si>
    <t xml:space="preserve">15-08-2025</t>
  </si>
  <si>
    <t xml:space="preserve">SKU1042</t>
  </si>
  <si>
    <t xml:space="preserve">19/07/2025</t>
  </si>
  <si>
    <t xml:space="preserve">SKU1119</t>
  </si>
  <si>
    <t xml:space="preserve">Winter Jacket</t>
  </si>
  <si>
    <t xml:space="preserve">apparel</t>
  </si>
  <si>
    <t xml:space="preserve">20-01-2025</t>
  </si>
  <si>
    <t xml:space="preserve">SKU1125</t>
  </si>
  <si>
    <t xml:space="preserve">Steel Tiffin Box</t>
  </si>
  <si>
    <t xml:space="preserve">10/04/2025</t>
  </si>
  <si>
    <t xml:space="preserve">SKU1126</t>
  </si>
  <si>
    <t xml:space="preserve">  Steel Tiffin Box  </t>
  </si>
  <si>
    <t xml:space="preserve">07-08-2025</t>
  </si>
  <si>
    <t xml:space="preserve">SKU1020</t>
  </si>
  <si>
    <t xml:space="preserve">05/05/2025</t>
  </si>
  <si>
    <t xml:space="preserve">SKU1059</t>
  </si>
  <si>
    <t xml:space="preserve">SKU1067</t>
  </si>
  <si>
    <t xml:space="preserve">  Folding Table  </t>
  </si>
  <si>
    <t xml:space="preserve">26-04-2025</t>
  </si>
  <si>
    <t xml:space="preserve">SKU1061</t>
  </si>
  <si>
    <t xml:space="preserve">17-02-2025</t>
  </si>
  <si>
    <t xml:space="preserve">SKU1145</t>
  </si>
  <si>
    <t xml:space="preserve">19/06/2025</t>
  </si>
  <si>
    <t xml:space="preserve">SKU1043</t>
  </si>
  <si>
    <t xml:space="preserve">25/07/2025</t>
  </si>
  <si>
    <t xml:space="preserve">SKU1092</t>
  </si>
  <si>
    <t xml:space="preserve">11/07/2025</t>
  </si>
  <si>
    <t xml:space="preserve">SKU1018</t>
  </si>
  <si>
    <t xml:space="preserve">14-04-2025</t>
  </si>
  <si>
    <t xml:space="preserve">SKU1005</t>
  </si>
  <si>
    <t xml:space="preserve">10-08-2025</t>
  </si>
  <si>
    <t xml:space="preserve">SKU1122</t>
  </si>
  <si>
    <t xml:space="preserve">19/01/2025</t>
  </si>
  <si>
    <t xml:space="preserve">SKU1065</t>
  </si>
  <si>
    <t xml:space="preserve">Folding Table</t>
  </si>
  <si>
    <t xml:space="preserve">31-01-2025</t>
  </si>
  <si>
    <t xml:space="preserve">SKU1052</t>
  </si>
  <si>
    <t xml:space="preserve">31-08-2025</t>
  </si>
  <si>
    <t xml:space="preserve">SKU1066</t>
  </si>
  <si>
    <t xml:space="preserve">08-06-2025</t>
  </si>
  <si>
    <t xml:space="preserve">SKU1078</t>
  </si>
  <si>
    <t xml:space="preserve">17/07/2025</t>
  </si>
  <si>
    <t xml:space="preserve">SKU1026</t>
  </si>
  <si>
    <t xml:space="preserve">SKU1147</t>
  </si>
  <si>
    <t xml:space="preserve">SKU1087</t>
  </si>
  <si>
    <t xml:space="preserve">31/05/2025</t>
  </si>
  <si>
    <t xml:space="preserve">SKU1096</t>
  </si>
  <si>
    <t xml:space="preserve">Sports Sandals</t>
  </si>
  <si>
    <t xml:space="preserve">SKU1025</t>
  </si>
  <si>
    <t xml:space="preserve">18-05-2025</t>
  </si>
  <si>
    <t xml:space="preserve">SKU1033</t>
  </si>
  <si>
    <t xml:space="preserve">31/03/2025</t>
  </si>
  <si>
    <t xml:space="preserve">SKU1031</t>
  </si>
  <si>
    <t xml:space="preserve">19-07-2025</t>
  </si>
  <si>
    <t xml:space="preserve">SKU1072</t>
  </si>
  <si>
    <t xml:space="preserve">24/01/2025</t>
  </si>
  <si>
    <t xml:space="preserve">SKU1116</t>
  </si>
  <si>
    <t xml:space="preserve">26/07/2025</t>
  </si>
  <si>
    <t xml:space="preserve">SKU1019</t>
  </si>
  <si>
    <t xml:space="preserve">24-04-2025</t>
  </si>
  <si>
    <t xml:space="preserve">SKU1156</t>
  </si>
  <si>
    <t xml:space="preserve">SKU1093</t>
  </si>
  <si>
    <t xml:space="preserve">22/07/2025</t>
  </si>
  <si>
    <t xml:space="preserve">SKU1050</t>
  </si>
  <si>
    <t xml:space="preserve">28/03/2025</t>
  </si>
  <si>
    <t xml:space="preserve">SKU1014</t>
  </si>
  <si>
    <t xml:space="preserve">SKU1103</t>
  </si>
  <si>
    <t xml:space="preserve">03/05/2025</t>
  </si>
  <si>
    <t xml:space="preserve">SKU1012</t>
  </si>
  <si>
    <t xml:space="preserve">19-05-2025</t>
  </si>
  <si>
    <t xml:space="preserve">SKU1149</t>
  </si>
  <si>
    <t xml:space="preserve">07-01-2025</t>
  </si>
  <si>
    <t xml:space="preserve">SKU1104</t>
  </si>
  <si>
    <t xml:space="preserve">09-06-2025</t>
  </si>
  <si>
    <t xml:space="preserve">SKU1094</t>
  </si>
  <si>
    <t xml:space="preserve">28-01-2025</t>
  </si>
  <si>
    <t xml:space="preserve">SKU1068</t>
  </si>
  <si>
    <t xml:space="preserve">31-05-2025</t>
  </si>
  <si>
    <t xml:space="preserve">SKU1035</t>
  </si>
  <si>
    <t xml:space="preserve">21/07/2025</t>
  </si>
  <si>
    <t xml:space="preserve">SKU1111</t>
  </si>
  <si>
    <t xml:space="preserve">18/06/2025</t>
  </si>
  <si>
    <t xml:space="preserve">SKU1028</t>
  </si>
  <si>
    <t xml:space="preserve">  A4 Notebook 200pg  </t>
  </si>
  <si>
    <t xml:space="preserve">12/06/2025</t>
  </si>
  <si>
    <t xml:space="preserve">SKU1003</t>
  </si>
  <si>
    <t xml:space="preserve">SKU1138</t>
  </si>
  <si>
    <t xml:space="preserve">SKU1074</t>
  </si>
  <si>
    <t xml:space="preserve">  Study Table  </t>
  </si>
  <si>
    <t xml:space="preserve">SKU1121</t>
  </si>
  <si>
    <t xml:space="preserve">SKU1153</t>
  </si>
  <si>
    <t xml:space="preserve">12-04-2025</t>
  </si>
  <si>
    <t xml:space="preserve">SKU1127</t>
  </si>
  <si>
    <t xml:space="preserve">SKU1073</t>
  </si>
  <si>
    <t xml:space="preserve">28-07-2025</t>
  </si>
  <si>
    <t xml:space="preserve">SKU1091</t>
  </si>
  <si>
    <t xml:space="preserve">14-02-2025</t>
  </si>
  <si>
    <t xml:space="preserve">SKU1150</t>
  </si>
  <si>
    <t xml:space="preserve">27/06/2025</t>
  </si>
  <si>
    <t xml:space="preserve">SKU1056</t>
  </si>
  <si>
    <t xml:space="preserve">30/04/2025</t>
  </si>
  <si>
    <t xml:space="preserve">SKU1062</t>
  </si>
  <si>
    <t xml:space="preserve">SKU1118</t>
  </si>
  <si>
    <t xml:space="preserve">05-08-2025</t>
  </si>
  <si>
    <t xml:space="preserve">SKU1130</t>
  </si>
  <si>
    <t xml:space="preserve">  Pressure Cooker 3L  </t>
  </si>
  <si>
    <t xml:space="preserve">03-02-2025</t>
  </si>
  <si>
    <t xml:space="preserve">SKU1101</t>
  </si>
  <si>
    <t xml:space="preserve">SKU1024</t>
  </si>
  <si>
    <t xml:space="preserve">SKU1006</t>
  </si>
  <si>
    <t xml:space="preserve">  USB Cable Type-C  </t>
  </si>
  <si>
    <t xml:space="preserve">15-06-2025</t>
  </si>
  <si>
    <t xml:space="preserve">SKU1128</t>
  </si>
  <si>
    <t xml:space="preserve">22-08-2025</t>
  </si>
  <si>
    <t xml:space="preserve">SKU1079</t>
  </si>
  <si>
    <t xml:space="preserve">27-03-2025</t>
  </si>
  <si>
    <t xml:space="preserve">SKU1120</t>
  </si>
  <si>
    <t xml:space="preserve">04-06-2025</t>
  </si>
  <si>
    <t xml:space="preserve">Stock_Corrected</t>
  </si>
  <si>
    <t xml:space="preserve">Duplicate_Status</t>
  </si>
  <si>
    <t xml:space="preserve">Stock_Status</t>
  </si>
  <si>
    <t xml:space="preserve">Issue Found</t>
  </si>
  <si>
    <t xml:space="preserve">How It Was Fixed (formula logic)</t>
  </si>
  <si>
    <t xml:space="preserve">Extra spaces in Product_Name</t>
  </si>
  <si>
    <t xml:space="preserve">TRIM() removes leading/trailing spaces; PROPER() fixes casing so the same product always reads the same way.</t>
  </si>
  <si>
    <t xml:space="preserve">Category typed in different cases</t>
  </si>
  <si>
    <t xml:space="preserve">PROPER(TRIM()) normalizes 'ELECTRONICS' / 'electronics' / 'Electronics' to one consistent 'Electronics'.</t>
  </si>
  <si>
    <t xml:space="preserve">Warehouse name has 4+ spellings</t>
  </si>
  <si>
    <t xml:space="preserve">SEARCH() checks for the keyword (north/south/east/west) anywhere in the text, case-insensitive, and maps it to a standard code (WH-North etc.), regardless of how it was typed.</t>
  </si>
  <si>
    <t xml:space="preserve">Negative Stock_Qty (return-processing bug)</t>
  </si>
  <si>
    <t xml:space="preserve">Any negative value is reset to 0 with IF(...&lt;0,0,...). A separate Stock_Corrected flag keeps a record of which rows were touched, instead of silently overwriting the issue.</t>
  </si>
  <si>
    <t xml:space="preserve">Missing Unit_Price on some SKUs</t>
  </si>
  <si>
    <t xml:space="preserve">Where price is blank, AVERAGEIFS() fills it with the average price of other SKUs in the same (cleaned) category, rather than leaving a blank that would break later SUM/AVG calculations.</t>
  </si>
  <si>
    <t xml:space="preserve">Missing Supplier on some SKUs</t>
  </si>
  <si>
    <t xml:space="preserve">Blank supplier is replaced with 'Not Assigned' so the field is never empty (empty text breaks GROUP BY / pivot counts downstream).</t>
  </si>
  <si>
    <t xml:space="preserve">Last_Restock_Date mixed dd-mm-yyyy and dd/mm/yyyy</t>
  </si>
  <si>
    <t xml:space="preserve">SUBSTITUTE() converts every '/' to '-' first so both formats line up the same way, then LEFT/MID/VALUE pull out day, month and year to rebuild a real Excel date with DATE().</t>
  </si>
  <si>
    <t xml:space="preserve">15 duplicate rows from double barcode scans</t>
  </si>
  <si>
    <t xml:space="preserve">COUNTIF() over a growing range flags the first time a SKU is seen as 'Keep' and every repeat as 'Duplicate - Remove', so duplicates can be filtered out before the SQL load.</t>
  </si>
  <si>
    <t xml:space="preserve">No visibility into which SKUs need reordering</t>
  </si>
  <si>
    <t xml:space="preserve">Added a Stock_Status column comparing cleaned Stock_Qty to Reorder_Level — this becomes the seed for the Power BI reorder-alert visual.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</si>
</sst>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n">
        <v>144</v>
      </c>
      <c r="F2" s="2" t="n">
        <v>2000.49</v>
      </c>
      <c r="G2" s="2" t="n">
        <v>12</v>
      </c>
      <c r="H2" s="2" t="s">
        <v>13</v>
      </c>
      <c r="I2" s="2" t="s">
        <v>14</v>
      </c>
    </row>
    <row r="3" customFormat="false" ht="15" hidden="false" customHeight="false" outlineLevel="0" collapsed="false">
      <c r="A3" s="2" t="s">
        <v>15</v>
      </c>
      <c r="B3" s="2" t="s">
        <v>16</v>
      </c>
      <c r="C3" s="2" t="s">
        <v>17</v>
      </c>
      <c r="D3" s="2" t="s">
        <v>12</v>
      </c>
      <c r="E3" s="2" t="n">
        <v>225</v>
      </c>
      <c r="F3" s="2"/>
      <c r="G3" s="2" t="n">
        <v>28</v>
      </c>
      <c r="H3" s="2" t="s">
        <v>18</v>
      </c>
      <c r="I3" s="2" t="s">
        <v>19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n">
        <v>55</v>
      </c>
      <c r="F4" s="2" t="n">
        <v>2481.83</v>
      </c>
      <c r="G4" s="2" t="n">
        <v>40</v>
      </c>
      <c r="H4" s="2" t="s">
        <v>24</v>
      </c>
      <c r="I4" s="2" t="s">
        <v>25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n">
        <v>140</v>
      </c>
      <c r="F5" s="2" t="n">
        <v>3079.49</v>
      </c>
      <c r="G5" s="2" t="n">
        <v>23</v>
      </c>
      <c r="H5" s="2" t="s">
        <v>13</v>
      </c>
      <c r="I5" s="2" t="s">
        <v>30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33</v>
      </c>
      <c r="D6" s="2" t="s">
        <v>34</v>
      </c>
      <c r="E6" s="2" t="n">
        <v>137</v>
      </c>
      <c r="F6" s="2" t="n">
        <v>3527.26</v>
      </c>
      <c r="G6" s="2" t="n">
        <v>32</v>
      </c>
      <c r="H6" s="2" t="s">
        <v>24</v>
      </c>
      <c r="I6" s="2" t="s">
        <v>35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n">
        <v>-5</v>
      </c>
      <c r="F7" s="2" t="n">
        <v>1017.32</v>
      </c>
      <c r="G7" s="2" t="n">
        <v>14</v>
      </c>
      <c r="H7" s="2" t="s">
        <v>40</v>
      </c>
      <c r="I7" s="2" t="s">
        <v>41</v>
      </c>
    </row>
    <row r="8" customFormat="false" ht="15" hidden="false" customHeight="false" outlineLevel="0" collapsed="false">
      <c r="A8" s="2" t="s">
        <v>42</v>
      </c>
      <c r="B8" s="2" t="s">
        <v>27</v>
      </c>
      <c r="C8" s="2" t="s">
        <v>28</v>
      </c>
      <c r="D8" s="2" t="s">
        <v>43</v>
      </c>
      <c r="E8" s="2" t="n">
        <v>212</v>
      </c>
      <c r="F8" s="2" t="n">
        <v>338.24</v>
      </c>
      <c r="G8" s="2" t="n">
        <v>11</v>
      </c>
      <c r="H8" s="2" t="s">
        <v>44</v>
      </c>
      <c r="I8" s="2" t="s">
        <v>45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11</v>
      </c>
      <c r="D9" s="2" t="s">
        <v>48</v>
      </c>
      <c r="E9" s="2" t="n">
        <v>99</v>
      </c>
      <c r="F9" s="2"/>
      <c r="G9" s="2" t="n">
        <v>37</v>
      </c>
      <c r="H9" s="2" t="s">
        <v>18</v>
      </c>
      <c r="I9" s="2" t="s">
        <v>49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39</v>
      </c>
      <c r="E10" s="2" t="n">
        <v>83</v>
      </c>
      <c r="F10" s="2" t="n">
        <v>2516.69</v>
      </c>
      <c r="G10" s="2" t="n">
        <v>38</v>
      </c>
      <c r="H10" s="2" t="s">
        <v>13</v>
      </c>
      <c r="I10" s="2" t="s">
        <v>53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n">
        <v>165</v>
      </c>
      <c r="F11" s="2" t="n">
        <v>542.27</v>
      </c>
      <c r="G11" s="2" t="n">
        <v>38</v>
      </c>
      <c r="H11" s="2" t="s">
        <v>24</v>
      </c>
      <c r="I11" s="2" t="s">
        <v>58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43</v>
      </c>
      <c r="E12" s="2" t="n">
        <v>297</v>
      </c>
      <c r="F12" s="2" t="n">
        <v>2674.27</v>
      </c>
      <c r="G12" s="2" t="n">
        <v>12</v>
      </c>
      <c r="H12" s="2"/>
      <c r="I12" s="2" t="s">
        <v>62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43</v>
      </c>
      <c r="E13" s="2" t="n">
        <v>-7</v>
      </c>
      <c r="F13" s="2" t="n">
        <v>3298.21</v>
      </c>
      <c r="G13" s="2" t="n">
        <v>13</v>
      </c>
      <c r="H13" s="2" t="s">
        <v>18</v>
      </c>
      <c r="I13" s="2" t="s">
        <v>62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17</v>
      </c>
      <c r="D14" s="2" t="s">
        <v>68</v>
      </c>
      <c r="E14" s="2" t="n">
        <v>276</v>
      </c>
      <c r="F14" s="2" t="n">
        <v>1708.34</v>
      </c>
      <c r="G14" s="2" t="n">
        <v>20</v>
      </c>
      <c r="H14" s="2" t="s">
        <v>44</v>
      </c>
      <c r="I14" s="2" t="s">
        <v>69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61</v>
      </c>
      <c r="D15" s="2" t="s">
        <v>43</v>
      </c>
      <c r="E15" s="2" t="n">
        <v>89</v>
      </c>
      <c r="F15" s="2" t="n">
        <v>222.59</v>
      </c>
      <c r="G15" s="2" t="n">
        <v>21</v>
      </c>
      <c r="H15" s="2" t="s">
        <v>40</v>
      </c>
      <c r="I15" s="2" t="s">
        <v>72</v>
      </c>
    </row>
    <row r="16" customFormat="false" ht="15" hidden="false" customHeight="false" outlineLevel="0" collapsed="false">
      <c r="A16" s="2" t="s">
        <v>73</v>
      </c>
      <c r="B16" s="2" t="s">
        <v>74</v>
      </c>
      <c r="C16" s="2" t="s">
        <v>38</v>
      </c>
      <c r="D16" s="2" t="s">
        <v>29</v>
      </c>
      <c r="E16" s="2" t="n">
        <v>18</v>
      </c>
      <c r="F16" s="2" t="n">
        <v>2878.28</v>
      </c>
      <c r="G16" s="2" t="n">
        <v>32</v>
      </c>
      <c r="H16" s="2"/>
      <c r="I16" s="2" t="s">
        <v>75</v>
      </c>
    </row>
    <row r="17" customFormat="false" ht="15" hidden="false" customHeight="false" outlineLevel="0" collapsed="false">
      <c r="A17" s="2" t="s">
        <v>76</v>
      </c>
      <c r="B17" s="2" t="s">
        <v>77</v>
      </c>
      <c r="C17" s="2" t="s">
        <v>22</v>
      </c>
      <c r="D17" s="2" t="s">
        <v>48</v>
      </c>
      <c r="E17" s="2" t="n">
        <v>121</v>
      </c>
      <c r="F17" s="2"/>
      <c r="G17" s="2" t="n">
        <v>13</v>
      </c>
      <c r="H17" s="2" t="s">
        <v>40</v>
      </c>
      <c r="I17" s="2" t="s">
        <v>78</v>
      </c>
    </row>
    <row r="18" customFormat="false" ht="15" hidden="false" customHeight="false" outlineLevel="0" collapsed="false">
      <c r="A18" s="2" t="s">
        <v>79</v>
      </c>
      <c r="B18" s="2" t="s">
        <v>80</v>
      </c>
      <c r="C18" s="2" t="s">
        <v>17</v>
      </c>
      <c r="D18" s="2" t="s">
        <v>12</v>
      </c>
      <c r="E18" s="2" t="n">
        <v>69</v>
      </c>
      <c r="F18" s="2" t="n">
        <v>2128.04</v>
      </c>
      <c r="G18" s="2" t="n">
        <v>33</v>
      </c>
      <c r="H18" s="2" t="s">
        <v>81</v>
      </c>
      <c r="I18" s="2" t="s">
        <v>82</v>
      </c>
    </row>
    <row r="19" customFormat="false" ht="15" hidden="false" customHeight="false" outlineLevel="0" collapsed="false">
      <c r="A19" s="2" t="s">
        <v>83</v>
      </c>
      <c r="B19" s="2" t="s">
        <v>55</v>
      </c>
      <c r="C19" s="2" t="s">
        <v>56</v>
      </c>
      <c r="D19" s="2" t="s">
        <v>12</v>
      </c>
      <c r="E19" s="2" t="n">
        <v>220</v>
      </c>
      <c r="F19" s="2" t="n">
        <v>1547.62</v>
      </c>
      <c r="G19" s="2" t="n">
        <v>33</v>
      </c>
      <c r="H19" s="2"/>
      <c r="I19" s="2" t="s">
        <v>84</v>
      </c>
    </row>
    <row r="20" customFormat="false" ht="15" hidden="false" customHeight="false" outlineLevel="0" collapsed="false">
      <c r="A20" s="2" t="s">
        <v>85</v>
      </c>
      <c r="B20" s="2" t="s">
        <v>86</v>
      </c>
      <c r="C20" s="2" t="s">
        <v>87</v>
      </c>
      <c r="D20" s="2" t="s">
        <v>88</v>
      </c>
      <c r="E20" s="2" t="n">
        <v>67</v>
      </c>
      <c r="F20" s="2" t="n">
        <v>3500.75</v>
      </c>
      <c r="G20" s="2" t="n">
        <v>40</v>
      </c>
      <c r="H20" s="2" t="s">
        <v>18</v>
      </c>
      <c r="I20" s="2" t="s">
        <v>89</v>
      </c>
    </row>
    <row r="21" customFormat="false" ht="15" hidden="false" customHeight="false" outlineLevel="0" collapsed="false">
      <c r="A21" s="2" t="s">
        <v>90</v>
      </c>
      <c r="B21" s="2" t="s">
        <v>91</v>
      </c>
      <c r="C21" s="2" t="s">
        <v>92</v>
      </c>
      <c r="D21" s="2" t="s">
        <v>93</v>
      </c>
      <c r="E21" s="2" t="n">
        <v>179</v>
      </c>
      <c r="F21" s="2" t="n">
        <v>1767.32</v>
      </c>
      <c r="G21" s="2" t="n">
        <v>24</v>
      </c>
      <c r="H21" s="2" t="s">
        <v>81</v>
      </c>
      <c r="I21" s="2" t="s">
        <v>72</v>
      </c>
    </row>
    <row r="22" customFormat="false" ht="15" hidden="false" customHeight="false" outlineLevel="0" collapsed="false">
      <c r="A22" s="2" t="s">
        <v>94</v>
      </c>
      <c r="B22" s="2" t="s">
        <v>95</v>
      </c>
      <c r="C22" s="2" t="s">
        <v>92</v>
      </c>
      <c r="D22" s="2" t="s">
        <v>48</v>
      </c>
      <c r="E22" s="2" t="n">
        <v>39</v>
      </c>
      <c r="F22" s="2" t="n">
        <v>3445.56</v>
      </c>
      <c r="G22" s="2" t="n">
        <v>12</v>
      </c>
      <c r="H22" s="2" t="s">
        <v>13</v>
      </c>
      <c r="I22" s="2" t="s">
        <v>96</v>
      </c>
    </row>
    <row r="23" customFormat="false" ht="15" hidden="false" customHeight="false" outlineLevel="0" collapsed="false">
      <c r="A23" s="2" t="s">
        <v>97</v>
      </c>
      <c r="B23" s="2" t="s">
        <v>98</v>
      </c>
      <c r="C23" s="2" t="s">
        <v>99</v>
      </c>
      <c r="D23" s="2" t="s">
        <v>43</v>
      </c>
      <c r="E23" s="2" t="n">
        <v>299</v>
      </c>
      <c r="F23" s="2" t="n">
        <v>131.94</v>
      </c>
      <c r="G23" s="2" t="n">
        <v>34</v>
      </c>
      <c r="H23" s="2" t="s">
        <v>40</v>
      </c>
      <c r="I23" s="2" t="s">
        <v>100</v>
      </c>
    </row>
    <row r="24" customFormat="false" ht="15" hidden="false" customHeight="false" outlineLevel="0" collapsed="false">
      <c r="A24" s="2" t="s">
        <v>101</v>
      </c>
      <c r="B24" s="2" t="s">
        <v>86</v>
      </c>
      <c r="C24" s="2" t="s">
        <v>87</v>
      </c>
      <c r="D24" s="2" t="s">
        <v>12</v>
      </c>
      <c r="E24" s="2" t="n">
        <v>237</v>
      </c>
      <c r="F24" s="2" t="n">
        <v>2931.97</v>
      </c>
      <c r="G24" s="2" t="n">
        <v>20</v>
      </c>
      <c r="H24" s="2" t="s">
        <v>18</v>
      </c>
      <c r="I24" s="2" t="s">
        <v>102</v>
      </c>
    </row>
    <row r="25" customFormat="false" ht="15" hidden="false" customHeight="false" outlineLevel="0" collapsed="false">
      <c r="A25" s="2" t="s">
        <v>103</v>
      </c>
      <c r="B25" s="2" t="s">
        <v>64</v>
      </c>
      <c r="C25" s="2" t="s">
        <v>104</v>
      </c>
      <c r="D25" s="2" t="s">
        <v>23</v>
      </c>
      <c r="E25" s="2" t="n">
        <v>63</v>
      </c>
      <c r="F25" s="2" t="n">
        <v>696.87</v>
      </c>
      <c r="G25" s="2" t="n">
        <v>19</v>
      </c>
      <c r="H25" s="2" t="s">
        <v>81</v>
      </c>
      <c r="I25" s="2" t="s">
        <v>105</v>
      </c>
    </row>
    <row r="26" customFormat="false" ht="15" hidden="false" customHeight="false" outlineLevel="0" collapsed="false">
      <c r="A26" s="2" t="s">
        <v>106</v>
      </c>
      <c r="B26" s="2" t="s">
        <v>21</v>
      </c>
      <c r="C26" s="2" t="s">
        <v>22</v>
      </c>
      <c r="D26" s="2" t="s">
        <v>93</v>
      </c>
      <c r="E26" s="2" t="n">
        <v>237</v>
      </c>
      <c r="F26" s="2" t="n">
        <v>887.82</v>
      </c>
      <c r="G26" s="2" t="n">
        <v>30</v>
      </c>
      <c r="H26" s="2" t="s">
        <v>13</v>
      </c>
      <c r="I26" s="2" t="s">
        <v>107</v>
      </c>
    </row>
    <row r="27" customFormat="false" ht="15" hidden="false" customHeight="false" outlineLevel="0" collapsed="false">
      <c r="A27" s="2" t="s">
        <v>108</v>
      </c>
      <c r="B27" s="2" t="s">
        <v>77</v>
      </c>
      <c r="C27" s="2" t="s">
        <v>109</v>
      </c>
      <c r="D27" s="2" t="s">
        <v>57</v>
      </c>
      <c r="E27" s="2" t="n">
        <v>82</v>
      </c>
      <c r="F27" s="2" t="n">
        <v>196.23</v>
      </c>
      <c r="G27" s="2" t="n">
        <v>26</v>
      </c>
      <c r="H27" s="2" t="s">
        <v>13</v>
      </c>
      <c r="I27" s="2" t="s">
        <v>110</v>
      </c>
    </row>
    <row r="28" customFormat="false" ht="15" hidden="false" customHeight="false" outlineLevel="0" collapsed="false">
      <c r="A28" s="2" t="s">
        <v>111</v>
      </c>
      <c r="B28" s="2" t="s">
        <v>32</v>
      </c>
      <c r="C28" s="2" t="s">
        <v>104</v>
      </c>
      <c r="D28" s="2" t="s">
        <v>68</v>
      </c>
      <c r="E28" s="2" t="n">
        <v>193</v>
      </c>
      <c r="F28" s="2" t="n">
        <v>2147.14</v>
      </c>
      <c r="G28" s="2" t="n">
        <v>23</v>
      </c>
      <c r="H28" s="2" t="s">
        <v>40</v>
      </c>
      <c r="I28" s="2" t="s">
        <v>112</v>
      </c>
    </row>
    <row r="29" customFormat="false" ht="15" hidden="false" customHeight="false" outlineLevel="0" collapsed="false">
      <c r="A29" s="2" t="s">
        <v>113</v>
      </c>
      <c r="B29" s="2" t="s">
        <v>67</v>
      </c>
      <c r="C29" s="2" t="s">
        <v>17</v>
      </c>
      <c r="D29" s="2" t="s">
        <v>23</v>
      </c>
      <c r="E29" s="2" t="n">
        <v>113</v>
      </c>
      <c r="F29" s="2" t="n">
        <v>1954.65</v>
      </c>
      <c r="G29" s="2" t="n">
        <v>37</v>
      </c>
      <c r="H29" s="2" t="s">
        <v>81</v>
      </c>
      <c r="I29" s="2" t="s">
        <v>114</v>
      </c>
    </row>
    <row r="30" customFormat="false" ht="15" hidden="false" customHeight="false" outlineLevel="0" collapsed="false">
      <c r="A30" s="2" t="s">
        <v>115</v>
      </c>
      <c r="B30" s="2" t="s">
        <v>116</v>
      </c>
      <c r="C30" s="2" t="s">
        <v>22</v>
      </c>
      <c r="D30" s="2" t="s">
        <v>117</v>
      </c>
      <c r="E30" s="2" t="n">
        <v>33</v>
      </c>
      <c r="F30" s="2" t="n">
        <v>1530.62</v>
      </c>
      <c r="G30" s="2" t="n">
        <v>14</v>
      </c>
      <c r="H30" s="2" t="s">
        <v>44</v>
      </c>
      <c r="I30" s="2" t="s">
        <v>118</v>
      </c>
    </row>
    <row r="31" customFormat="false" ht="15" hidden="false" customHeight="false" outlineLevel="0" collapsed="false">
      <c r="A31" s="2" t="s">
        <v>119</v>
      </c>
      <c r="B31" s="2" t="s">
        <v>120</v>
      </c>
      <c r="C31" s="2" t="s">
        <v>92</v>
      </c>
      <c r="D31" s="2" t="s">
        <v>68</v>
      </c>
      <c r="E31" s="2" t="n">
        <v>166</v>
      </c>
      <c r="F31" s="2" t="n">
        <v>2021.96</v>
      </c>
      <c r="G31" s="2" t="n">
        <v>38</v>
      </c>
      <c r="H31" s="2" t="s">
        <v>40</v>
      </c>
      <c r="I31" s="2" t="s">
        <v>121</v>
      </c>
    </row>
    <row r="32" customFormat="false" ht="15" hidden="false" customHeight="false" outlineLevel="0" collapsed="false">
      <c r="A32" s="2" t="s">
        <v>122</v>
      </c>
      <c r="B32" s="2" t="s">
        <v>21</v>
      </c>
      <c r="C32" s="2" t="s">
        <v>123</v>
      </c>
      <c r="D32" s="2" t="s">
        <v>88</v>
      </c>
      <c r="E32" s="2" t="n">
        <v>288</v>
      </c>
      <c r="F32" s="2" t="n">
        <v>903.01</v>
      </c>
      <c r="G32" s="2" t="n">
        <v>37</v>
      </c>
      <c r="H32" s="2" t="s">
        <v>44</v>
      </c>
      <c r="I32" s="2" t="s">
        <v>110</v>
      </c>
    </row>
    <row r="33" customFormat="false" ht="15" hidden="false" customHeight="false" outlineLevel="0" collapsed="false">
      <c r="A33" s="2" t="s">
        <v>85</v>
      </c>
      <c r="B33" s="2" t="s">
        <v>86</v>
      </c>
      <c r="C33" s="2" t="s">
        <v>87</v>
      </c>
      <c r="D33" s="2" t="s">
        <v>88</v>
      </c>
      <c r="E33" s="2" t="n">
        <v>67</v>
      </c>
      <c r="F33" s="2" t="n">
        <v>3500.75</v>
      </c>
      <c r="G33" s="2" t="n">
        <v>40</v>
      </c>
      <c r="H33" s="2" t="s">
        <v>18</v>
      </c>
      <c r="I33" s="2" t="s">
        <v>89</v>
      </c>
    </row>
    <row r="34" customFormat="false" ht="15" hidden="false" customHeight="false" outlineLevel="0" collapsed="false">
      <c r="A34" s="2" t="s">
        <v>124</v>
      </c>
      <c r="B34" s="2" t="s">
        <v>125</v>
      </c>
      <c r="C34" s="2" t="s">
        <v>38</v>
      </c>
      <c r="D34" s="2" t="s">
        <v>39</v>
      </c>
      <c r="E34" s="2" t="n">
        <v>300</v>
      </c>
      <c r="F34" s="2" t="n">
        <v>3149.25</v>
      </c>
      <c r="G34" s="2" t="n">
        <v>35</v>
      </c>
      <c r="H34" s="2" t="s">
        <v>18</v>
      </c>
      <c r="I34" s="2" t="s">
        <v>126</v>
      </c>
    </row>
    <row r="35" customFormat="false" ht="15" hidden="false" customHeight="false" outlineLevel="0" collapsed="false">
      <c r="A35" s="2" t="s">
        <v>127</v>
      </c>
      <c r="B35" s="2" t="s">
        <v>128</v>
      </c>
      <c r="C35" s="2" t="s">
        <v>129</v>
      </c>
      <c r="D35" s="2" t="s">
        <v>43</v>
      </c>
      <c r="E35" s="2" t="n">
        <v>39</v>
      </c>
      <c r="F35" s="2" t="n">
        <v>979.06</v>
      </c>
      <c r="G35" s="2" t="n">
        <v>13</v>
      </c>
      <c r="H35" s="2" t="s">
        <v>13</v>
      </c>
      <c r="I35" s="2" t="s">
        <v>130</v>
      </c>
    </row>
    <row r="36" customFormat="false" ht="15" hidden="false" customHeight="false" outlineLevel="0" collapsed="false">
      <c r="A36" s="2" t="s">
        <v>131</v>
      </c>
      <c r="B36" s="2" t="s">
        <v>132</v>
      </c>
      <c r="C36" s="2" t="s">
        <v>61</v>
      </c>
      <c r="D36" s="2" t="s">
        <v>48</v>
      </c>
      <c r="E36" s="2" t="n">
        <v>176</v>
      </c>
      <c r="F36" s="2"/>
      <c r="G36" s="2" t="n">
        <v>19</v>
      </c>
      <c r="H36" s="2" t="s">
        <v>18</v>
      </c>
      <c r="I36" s="2" t="s">
        <v>133</v>
      </c>
    </row>
    <row r="37" customFormat="false" ht="15" hidden="false" customHeight="false" outlineLevel="0" collapsed="false">
      <c r="A37" s="2" t="s">
        <v>134</v>
      </c>
      <c r="B37" s="2" t="s">
        <v>135</v>
      </c>
      <c r="C37" s="2" t="s">
        <v>28</v>
      </c>
      <c r="D37" s="2" t="s">
        <v>43</v>
      </c>
      <c r="E37" s="2" t="n">
        <v>232</v>
      </c>
      <c r="F37" s="2" t="n">
        <v>3251.53</v>
      </c>
      <c r="G37" s="2" t="n">
        <v>40</v>
      </c>
      <c r="H37" s="2" t="s">
        <v>24</v>
      </c>
      <c r="I37" s="2" t="s">
        <v>136</v>
      </c>
    </row>
    <row r="38" customFormat="false" ht="15" hidden="false" customHeight="false" outlineLevel="0" collapsed="false">
      <c r="A38" s="2" t="s">
        <v>137</v>
      </c>
      <c r="B38" s="2" t="s">
        <v>138</v>
      </c>
      <c r="C38" s="2" t="s">
        <v>11</v>
      </c>
      <c r="D38" s="2" t="s">
        <v>48</v>
      </c>
      <c r="E38" s="2" t="n">
        <v>127</v>
      </c>
      <c r="F38" s="2" t="n">
        <v>972.57</v>
      </c>
      <c r="G38" s="2" t="n">
        <v>34</v>
      </c>
      <c r="H38" s="2" t="s">
        <v>18</v>
      </c>
      <c r="I38" s="2" t="s">
        <v>139</v>
      </c>
    </row>
    <row r="39" customFormat="false" ht="15" hidden="false" customHeight="false" outlineLevel="0" collapsed="false">
      <c r="A39" s="2" t="s">
        <v>140</v>
      </c>
      <c r="B39" s="2" t="s">
        <v>141</v>
      </c>
      <c r="C39" s="2" t="s">
        <v>52</v>
      </c>
      <c r="D39" s="2" t="s">
        <v>12</v>
      </c>
      <c r="E39" s="2" t="n">
        <v>184</v>
      </c>
      <c r="F39" s="2" t="n">
        <v>2920.92</v>
      </c>
      <c r="G39" s="2" t="n">
        <v>39</v>
      </c>
      <c r="H39" s="2" t="s">
        <v>24</v>
      </c>
      <c r="I39" s="2" t="s">
        <v>142</v>
      </c>
    </row>
    <row r="40" customFormat="false" ht="15" hidden="false" customHeight="false" outlineLevel="0" collapsed="false">
      <c r="A40" s="2" t="s">
        <v>143</v>
      </c>
      <c r="B40" s="2" t="s">
        <v>144</v>
      </c>
      <c r="C40" s="2" t="s">
        <v>109</v>
      </c>
      <c r="D40" s="2" t="s">
        <v>68</v>
      </c>
      <c r="E40" s="2" t="n">
        <v>252</v>
      </c>
      <c r="F40" s="2" t="n">
        <v>1556.39</v>
      </c>
      <c r="G40" s="2" t="n">
        <v>21</v>
      </c>
      <c r="H40" s="2" t="s">
        <v>13</v>
      </c>
      <c r="I40" s="2" t="s">
        <v>145</v>
      </c>
    </row>
    <row r="41" customFormat="false" ht="15" hidden="false" customHeight="false" outlineLevel="0" collapsed="false">
      <c r="A41" s="2" t="s">
        <v>146</v>
      </c>
      <c r="B41" s="2" t="s">
        <v>147</v>
      </c>
      <c r="C41" s="2" t="s">
        <v>123</v>
      </c>
      <c r="D41" s="2" t="s">
        <v>29</v>
      </c>
      <c r="E41" s="2" t="n">
        <v>55</v>
      </c>
      <c r="F41" s="2" t="n">
        <v>1500.97</v>
      </c>
      <c r="G41" s="2" t="n">
        <v>38</v>
      </c>
      <c r="H41" s="2" t="s">
        <v>40</v>
      </c>
      <c r="I41" s="2" t="s">
        <v>148</v>
      </c>
    </row>
    <row r="42" customFormat="false" ht="15" hidden="false" customHeight="false" outlineLevel="0" collapsed="false">
      <c r="A42" s="2" t="s">
        <v>149</v>
      </c>
      <c r="B42" s="2" t="s">
        <v>150</v>
      </c>
      <c r="C42" s="2" t="s">
        <v>28</v>
      </c>
      <c r="D42" s="2" t="s">
        <v>68</v>
      </c>
      <c r="E42" s="2" t="n">
        <v>201</v>
      </c>
      <c r="F42" s="2" t="n">
        <v>177.92</v>
      </c>
      <c r="G42" s="2" t="n">
        <v>14</v>
      </c>
      <c r="H42" s="2" t="s">
        <v>40</v>
      </c>
      <c r="I42" s="2" t="s">
        <v>151</v>
      </c>
    </row>
    <row r="43" customFormat="false" ht="15" hidden="false" customHeight="false" outlineLevel="0" collapsed="false">
      <c r="A43" s="2" t="s">
        <v>152</v>
      </c>
      <c r="B43" s="2" t="s">
        <v>153</v>
      </c>
      <c r="C43" s="2" t="s">
        <v>154</v>
      </c>
      <c r="D43" s="2" t="s">
        <v>88</v>
      </c>
      <c r="E43" s="2" t="n">
        <v>248</v>
      </c>
      <c r="F43" s="2" t="n">
        <v>3833</v>
      </c>
      <c r="G43" s="2" t="n">
        <v>24</v>
      </c>
      <c r="H43" s="2" t="s">
        <v>81</v>
      </c>
      <c r="I43" s="2" t="s">
        <v>155</v>
      </c>
    </row>
    <row r="44" customFormat="false" ht="15" hidden="false" customHeight="false" outlineLevel="0" collapsed="false">
      <c r="A44" s="2" t="s">
        <v>156</v>
      </c>
      <c r="B44" s="2" t="s">
        <v>157</v>
      </c>
      <c r="C44" s="2" t="s">
        <v>28</v>
      </c>
      <c r="D44" s="2" t="s">
        <v>29</v>
      </c>
      <c r="E44" s="2" t="n">
        <v>108</v>
      </c>
      <c r="F44" s="2" t="n">
        <v>837.91</v>
      </c>
      <c r="G44" s="2" t="n">
        <v>11</v>
      </c>
      <c r="H44" s="2" t="s">
        <v>24</v>
      </c>
      <c r="I44" s="2" t="s">
        <v>158</v>
      </c>
    </row>
    <row r="45" customFormat="false" ht="15" hidden="false" customHeight="false" outlineLevel="0" collapsed="false">
      <c r="A45" s="2" t="s">
        <v>159</v>
      </c>
      <c r="B45" s="2" t="s">
        <v>160</v>
      </c>
      <c r="C45" s="2" t="s">
        <v>56</v>
      </c>
      <c r="D45" s="2" t="s">
        <v>161</v>
      </c>
      <c r="E45" s="2" t="n">
        <v>-15</v>
      </c>
      <c r="F45" s="2" t="n">
        <v>3235.72</v>
      </c>
      <c r="G45" s="2" t="n">
        <v>31</v>
      </c>
      <c r="H45" s="2" t="s">
        <v>40</v>
      </c>
      <c r="I45" s="2" t="s">
        <v>162</v>
      </c>
    </row>
    <row r="46" customFormat="false" ht="15" hidden="false" customHeight="false" outlineLevel="0" collapsed="false">
      <c r="A46" s="2" t="s">
        <v>163</v>
      </c>
      <c r="B46" s="2" t="s">
        <v>32</v>
      </c>
      <c r="C46" s="2" t="s">
        <v>104</v>
      </c>
      <c r="D46" s="2" t="s">
        <v>39</v>
      </c>
      <c r="E46" s="2" t="n">
        <v>235</v>
      </c>
      <c r="F46" s="2" t="n">
        <v>1885.6</v>
      </c>
      <c r="G46" s="2" t="n">
        <v>29</v>
      </c>
      <c r="H46" s="2" t="s">
        <v>40</v>
      </c>
      <c r="I46" s="2" t="s">
        <v>164</v>
      </c>
    </row>
    <row r="47" customFormat="false" ht="15" hidden="false" customHeight="false" outlineLevel="0" collapsed="false">
      <c r="A47" s="2" t="s">
        <v>165</v>
      </c>
      <c r="B47" s="2" t="s">
        <v>166</v>
      </c>
      <c r="C47" s="2" t="s">
        <v>28</v>
      </c>
      <c r="D47" s="2" t="s">
        <v>161</v>
      </c>
      <c r="E47" s="2" t="n">
        <v>94</v>
      </c>
      <c r="F47" s="2" t="n">
        <v>2059.59</v>
      </c>
      <c r="G47" s="2" t="n">
        <v>13</v>
      </c>
      <c r="H47" s="2" t="s">
        <v>44</v>
      </c>
      <c r="I47" s="2" t="s">
        <v>167</v>
      </c>
    </row>
    <row r="48" customFormat="false" ht="15" hidden="false" customHeight="false" outlineLevel="0" collapsed="false">
      <c r="A48" s="2" t="s">
        <v>168</v>
      </c>
      <c r="B48" s="2" t="s">
        <v>91</v>
      </c>
      <c r="C48" s="2" t="s">
        <v>169</v>
      </c>
      <c r="D48" s="2" t="s">
        <v>39</v>
      </c>
      <c r="E48" s="2" t="n">
        <v>224</v>
      </c>
      <c r="F48" s="2" t="n">
        <v>1627.63</v>
      </c>
      <c r="G48" s="2" t="n">
        <v>17</v>
      </c>
      <c r="H48" s="2" t="s">
        <v>44</v>
      </c>
      <c r="I48" s="2" t="s">
        <v>170</v>
      </c>
    </row>
    <row r="49" customFormat="false" ht="15" hidden="false" customHeight="false" outlineLevel="0" collapsed="false">
      <c r="A49" s="2" t="s">
        <v>171</v>
      </c>
      <c r="B49" s="2" t="s">
        <v>172</v>
      </c>
      <c r="C49" s="2" t="s">
        <v>104</v>
      </c>
      <c r="D49" s="2" t="s">
        <v>34</v>
      </c>
      <c r="E49" s="2" t="n">
        <v>114</v>
      </c>
      <c r="F49" s="2" t="n">
        <v>1660.02</v>
      </c>
      <c r="G49" s="2" t="n">
        <v>27</v>
      </c>
      <c r="H49" s="2" t="s">
        <v>18</v>
      </c>
      <c r="I49" s="2" t="s">
        <v>173</v>
      </c>
    </row>
    <row r="50" customFormat="false" ht="15" hidden="false" customHeight="false" outlineLevel="0" collapsed="false">
      <c r="A50" s="2" t="s">
        <v>174</v>
      </c>
      <c r="B50" s="2" t="s">
        <v>77</v>
      </c>
      <c r="C50" s="2" t="s">
        <v>123</v>
      </c>
      <c r="D50" s="2" t="s">
        <v>12</v>
      </c>
      <c r="E50" s="2" t="n">
        <v>214</v>
      </c>
      <c r="F50" s="2" t="n">
        <v>3881.33</v>
      </c>
      <c r="G50" s="2" t="n">
        <v>12</v>
      </c>
      <c r="H50" s="2" t="s">
        <v>18</v>
      </c>
      <c r="I50" s="2" t="s">
        <v>175</v>
      </c>
    </row>
    <row r="51" customFormat="false" ht="15" hidden="false" customHeight="false" outlineLevel="0" collapsed="false">
      <c r="A51" s="2" t="s">
        <v>176</v>
      </c>
      <c r="B51" s="2" t="s">
        <v>172</v>
      </c>
      <c r="C51" s="2" t="s">
        <v>104</v>
      </c>
      <c r="D51" s="2" t="s">
        <v>93</v>
      </c>
      <c r="E51" s="2" t="n">
        <v>15</v>
      </c>
      <c r="F51" s="2" t="n">
        <v>3074.1</v>
      </c>
      <c r="G51" s="2" t="n">
        <v>22</v>
      </c>
      <c r="H51" s="2" t="s">
        <v>18</v>
      </c>
      <c r="I51" s="2" t="s">
        <v>177</v>
      </c>
    </row>
    <row r="52" customFormat="false" ht="15" hidden="false" customHeight="false" outlineLevel="0" collapsed="false">
      <c r="A52" s="2" t="s">
        <v>178</v>
      </c>
      <c r="B52" s="2" t="s">
        <v>179</v>
      </c>
      <c r="C52" s="2" t="s">
        <v>22</v>
      </c>
      <c r="D52" s="2" t="s">
        <v>23</v>
      </c>
      <c r="E52" s="2" t="n">
        <v>294</v>
      </c>
      <c r="F52" s="2" t="n">
        <v>3124.33</v>
      </c>
      <c r="G52" s="2" t="n">
        <v>11</v>
      </c>
      <c r="H52" s="2" t="s">
        <v>13</v>
      </c>
      <c r="I52" s="2" t="s">
        <v>180</v>
      </c>
    </row>
    <row r="53" customFormat="false" ht="15" hidden="false" customHeight="false" outlineLevel="0" collapsed="false">
      <c r="A53" s="2" t="s">
        <v>181</v>
      </c>
      <c r="B53" s="2" t="s">
        <v>132</v>
      </c>
      <c r="C53" s="2" t="s">
        <v>182</v>
      </c>
      <c r="D53" s="2" t="s">
        <v>43</v>
      </c>
      <c r="E53" s="2" t="n">
        <v>183</v>
      </c>
      <c r="F53" s="2" t="n">
        <v>1688.84</v>
      </c>
      <c r="G53" s="2" t="n">
        <v>22</v>
      </c>
      <c r="H53" s="2"/>
      <c r="I53" s="2" t="s">
        <v>183</v>
      </c>
    </row>
    <row r="54" customFormat="false" ht="15" hidden="false" customHeight="false" outlineLevel="0" collapsed="false">
      <c r="A54" s="2" t="s">
        <v>184</v>
      </c>
      <c r="B54" s="2" t="s">
        <v>77</v>
      </c>
      <c r="C54" s="2" t="s">
        <v>109</v>
      </c>
      <c r="D54" s="2" t="s">
        <v>43</v>
      </c>
      <c r="E54" s="2" t="n">
        <v>278</v>
      </c>
      <c r="F54" s="2" t="n">
        <v>1300.81</v>
      </c>
      <c r="G54" s="2" t="n">
        <v>32</v>
      </c>
      <c r="H54" s="2" t="s">
        <v>18</v>
      </c>
      <c r="I54" s="2" t="s">
        <v>185</v>
      </c>
    </row>
    <row r="55" customFormat="false" ht="15" hidden="false" customHeight="false" outlineLevel="0" collapsed="false">
      <c r="A55" s="2" t="s">
        <v>186</v>
      </c>
      <c r="B55" s="2" t="s">
        <v>157</v>
      </c>
      <c r="C55" s="2" t="s">
        <v>28</v>
      </c>
      <c r="D55" s="2" t="s">
        <v>93</v>
      </c>
      <c r="E55" s="2" t="n">
        <v>187</v>
      </c>
      <c r="F55" s="2" t="n">
        <v>238.83</v>
      </c>
      <c r="G55" s="2" t="n">
        <v>30</v>
      </c>
      <c r="H55" s="2" t="s">
        <v>24</v>
      </c>
      <c r="I55" s="2" t="s">
        <v>187</v>
      </c>
    </row>
    <row r="56" customFormat="false" ht="15" hidden="false" customHeight="false" outlineLevel="0" collapsed="false">
      <c r="A56" s="2" t="s">
        <v>188</v>
      </c>
      <c r="B56" s="2" t="s">
        <v>189</v>
      </c>
      <c r="C56" s="2" t="s">
        <v>61</v>
      </c>
      <c r="D56" s="2" t="s">
        <v>34</v>
      </c>
      <c r="E56" s="2" t="n">
        <v>269</v>
      </c>
      <c r="F56" s="2" t="n">
        <v>1176</v>
      </c>
      <c r="G56" s="2" t="n">
        <v>34</v>
      </c>
      <c r="H56" s="2" t="s">
        <v>44</v>
      </c>
      <c r="I56" s="2" t="s">
        <v>190</v>
      </c>
    </row>
    <row r="57" customFormat="false" ht="15" hidden="false" customHeight="false" outlineLevel="0" collapsed="false">
      <c r="A57" s="2" t="s">
        <v>191</v>
      </c>
      <c r="B57" s="2" t="s">
        <v>16</v>
      </c>
      <c r="C57" s="2" t="s">
        <v>87</v>
      </c>
      <c r="D57" s="2" t="s">
        <v>57</v>
      </c>
      <c r="E57" s="2" t="n">
        <v>30</v>
      </c>
      <c r="F57" s="2" t="n">
        <v>1124.81</v>
      </c>
      <c r="G57" s="2" t="n">
        <v>31</v>
      </c>
      <c r="H57" s="2" t="s">
        <v>18</v>
      </c>
      <c r="I57" s="2" t="s">
        <v>192</v>
      </c>
    </row>
    <row r="58" customFormat="false" ht="15" hidden="false" customHeight="false" outlineLevel="0" collapsed="false">
      <c r="A58" s="2" t="s">
        <v>193</v>
      </c>
      <c r="B58" s="2" t="s">
        <v>157</v>
      </c>
      <c r="C58" s="2" t="s">
        <v>52</v>
      </c>
      <c r="D58" s="2" t="s">
        <v>68</v>
      </c>
      <c r="E58" s="2" t="n">
        <v>202</v>
      </c>
      <c r="F58" s="2" t="n">
        <v>787.93</v>
      </c>
      <c r="G58" s="2" t="n">
        <v>32</v>
      </c>
      <c r="H58" s="2"/>
      <c r="I58" s="2" t="s">
        <v>194</v>
      </c>
    </row>
    <row r="59" customFormat="false" ht="15" hidden="false" customHeight="false" outlineLevel="0" collapsed="false">
      <c r="A59" s="2" t="s">
        <v>195</v>
      </c>
      <c r="B59" s="2" t="s">
        <v>196</v>
      </c>
      <c r="C59" s="2" t="s">
        <v>65</v>
      </c>
      <c r="D59" s="2" t="s">
        <v>39</v>
      </c>
      <c r="E59" s="2" t="n">
        <v>145</v>
      </c>
      <c r="F59" s="2" t="n">
        <v>2868.5</v>
      </c>
      <c r="G59" s="2" t="n">
        <v>17</v>
      </c>
      <c r="H59" s="2" t="s">
        <v>24</v>
      </c>
      <c r="I59" s="2" t="s">
        <v>197</v>
      </c>
    </row>
    <row r="60" customFormat="false" ht="15" hidden="false" customHeight="false" outlineLevel="0" collapsed="false">
      <c r="A60" s="2" t="s">
        <v>198</v>
      </c>
      <c r="B60" s="2" t="s">
        <v>60</v>
      </c>
      <c r="C60" s="2" t="s">
        <v>61</v>
      </c>
      <c r="D60" s="2" t="s">
        <v>39</v>
      </c>
      <c r="E60" s="2" t="n">
        <v>115</v>
      </c>
      <c r="F60" s="2" t="n">
        <v>2217.78</v>
      </c>
      <c r="G60" s="2" t="n">
        <v>33</v>
      </c>
      <c r="H60" s="2" t="s">
        <v>13</v>
      </c>
      <c r="I60" s="2" t="s">
        <v>118</v>
      </c>
    </row>
    <row r="61" customFormat="false" ht="15" hidden="false" customHeight="false" outlineLevel="0" collapsed="false">
      <c r="A61" s="2" t="s">
        <v>199</v>
      </c>
      <c r="B61" s="2" t="s">
        <v>91</v>
      </c>
      <c r="C61" s="2" t="s">
        <v>169</v>
      </c>
      <c r="D61" s="2" t="s">
        <v>200</v>
      </c>
      <c r="E61" s="2" t="n">
        <v>221</v>
      </c>
      <c r="F61" s="2" t="n">
        <v>1569.83</v>
      </c>
      <c r="G61" s="2" t="n">
        <v>29</v>
      </c>
      <c r="H61" s="2" t="s">
        <v>18</v>
      </c>
      <c r="I61" s="2" t="s">
        <v>118</v>
      </c>
    </row>
    <row r="62" customFormat="false" ht="15" hidden="false" customHeight="false" outlineLevel="0" collapsed="false">
      <c r="A62" s="2" t="s">
        <v>201</v>
      </c>
      <c r="B62" s="2" t="s">
        <v>202</v>
      </c>
      <c r="C62" s="2" t="s">
        <v>56</v>
      </c>
      <c r="D62" s="2" t="s">
        <v>203</v>
      </c>
      <c r="E62" s="2" t="n">
        <v>140</v>
      </c>
      <c r="F62" s="2" t="n">
        <v>472.79</v>
      </c>
      <c r="G62" s="2" t="n">
        <v>27</v>
      </c>
      <c r="H62" s="2" t="s">
        <v>44</v>
      </c>
      <c r="I62" s="2" t="s">
        <v>190</v>
      </c>
    </row>
    <row r="63" customFormat="false" ht="15" hidden="false" customHeight="false" outlineLevel="0" collapsed="false">
      <c r="A63" s="2" t="s">
        <v>204</v>
      </c>
      <c r="B63" s="2" t="s">
        <v>86</v>
      </c>
      <c r="C63" s="2" t="s">
        <v>87</v>
      </c>
      <c r="D63" s="2" t="s">
        <v>117</v>
      </c>
      <c r="E63" s="2" t="n">
        <v>225</v>
      </c>
      <c r="F63" s="2" t="n">
        <v>2822.03</v>
      </c>
      <c r="G63" s="2" t="n">
        <v>37</v>
      </c>
      <c r="H63" s="2" t="s">
        <v>40</v>
      </c>
      <c r="I63" s="2" t="s">
        <v>205</v>
      </c>
    </row>
    <row r="64" customFormat="false" ht="15" hidden="false" customHeight="false" outlineLevel="0" collapsed="false">
      <c r="A64" s="2" t="s">
        <v>206</v>
      </c>
      <c r="B64" s="2" t="s">
        <v>207</v>
      </c>
      <c r="C64" s="2" t="s">
        <v>129</v>
      </c>
      <c r="D64" s="2" t="s">
        <v>39</v>
      </c>
      <c r="E64" s="2" t="n">
        <v>139</v>
      </c>
      <c r="F64" s="2" t="n">
        <v>1795.25</v>
      </c>
      <c r="G64" s="2" t="n">
        <v>32</v>
      </c>
      <c r="H64" s="2" t="s">
        <v>18</v>
      </c>
      <c r="I64" s="2" t="s">
        <v>208</v>
      </c>
    </row>
    <row r="65" customFormat="false" ht="15" hidden="false" customHeight="false" outlineLevel="0" collapsed="false">
      <c r="A65" s="2" t="s">
        <v>209</v>
      </c>
      <c r="B65" s="2" t="s">
        <v>179</v>
      </c>
      <c r="C65" s="2" t="s">
        <v>109</v>
      </c>
      <c r="D65" s="2" t="s">
        <v>200</v>
      </c>
      <c r="E65" s="2" t="n">
        <v>133</v>
      </c>
      <c r="F65" s="2" t="n">
        <v>2897.67</v>
      </c>
      <c r="G65" s="2" t="n">
        <v>31</v>
      </c>
      <c r="H65" s="2" t="s">
        <v>40</v>
      </c>
      <c r="I65" s="2" t="s">
        <v>210</v>
      </c>
    </row>
    <row r="66" customFormat="false" ht="15" hidden="false" customHeight="false" outlineLevel="0" collapsed="false">
      <c r="A66" s="2" t="s">
        <v>211</v>
      </c>
      <c r="B66" s="2" t="s">
        <v>132</v>
      </c>
      <c r="C66" s="2" t="s">
        <v>61</v>
      </c>
      <c r="D66" s="2" t="s">
        <v>39</v>
      </c>
      <c r="E66" s="2" t="n">
        <v>219</v>
      </c>
      <c r="F66" s="2" t="n">
        <v>3276.72</v>
      </c>
      <c r="G66" s="2" t="n">
        <v>35</v>
      </c>
      <c r="H66" s="2" t="s">
        <v>13</v>
      </c>
      <c r="I66" s="2" t="s">
        <v>212</v>
      </c>
    </row>
    <row r="67" customFormat="false" ht="15" hidden="false" customHeight="false" outlineLevel="0" collapsed="false">
      <c r="A67" s="2" t="s">
        <v>213</v>
      </c>
      <c r="B67" s="2" t="s">
        <v>144</v>
      </c>
      <c r="C67" s="2" t="s">
        <v>123</v>
      </c>
      <c r="D67" s="2" t="s">
        <v>29</v>
      </c>
      <c r="E67" s="2" t="n">
        <v>128</v>
      </c>
      <c r="F67" s="2" t="n">
        <v>2353.47</v>
      </c>
      <c r="G67" s="2" t="n">
        <v>17</v>
      </c>
      <c r="H67" s="2" t="s">
        <v>18</v>
      </c>
      <c r="I67" s="2" t="s">
        <v>214</v>
      </c>
    </row>
    <row r="68" customFormat="false" ht="15" hidden="false" customHeight="false" outlineLevel="0" collapsed="false">
      <c r="A68" s="2" t="s">
        <v>215</v>
      </c>
      <c r="B68" s="2" t="s">
        <v>71</v>
      </c>
      <c r="C68" s="2" t="s">
        <v>61</v>
      </c>
      <c r="D68" s="2" t="s">
        <v>48</v>
      </c>
      <c r="E68" s="2" t="n">
        <v>127</v>
      </c>
      <c r="F68" s="2" t="n">
        <v>3244.06</v>
      </c>
      <c r="G68" s="2" t="n">
        <v>25</v>
      </c>
      <c r="H68" s="2" t="s">
        <v>44</v>
      </c>
      <c r="I68" s="2" t="s">
        <v>194</v>
      </c>
    </row>
    <row r="69" customFormat="false" ht="15" hidden="false" customHeight="false" outlineLevel="0" collapsed="false">
      <c r="A69" s="2" t="s">
        <v>216</v>
      </c>
      <c r="B69" s="2" t="s">
        <v>217</v>
      </c>
      <c r="C69" s="2" t="s">
        <v>56</v>
      </c>
      <c r="D69" s="2" t="s">
        <v>161</v>
      </c>
      <c r="E69" s="2" t="n">
        <v>95</v>
      </c>
      <c r="F69" s="2" t="n">
        <v>147.91</v>
      </c>
      <c r="G69" s="2" t="n">
        <v>33</v>
      </c>
      <c r="H69" s="2" t="s">
        <v>24</v>
      </c>
      <c r="I69" s="2" t="s">
        <v>175</v>
      </c>
    </row>
    <row r="70" customFormat="false" ht="15" hidden="false" customHeight="false" outlineLevel="0" collapsed="false">
      <c r="A70" s="2" t="s">
        <v>218</v>
      </c>
      <c r="B70" s="2" t="s">
        <v>219</v>
      </c>
      <c r="C70" s="2" t="s">
        <v>61</v>
      </c>
      <c r="D70" s="2" t="s">
        <v>88</v>
      </c>
      <c r="E70" s="2" t="n">
        <v>196</v>
      </c>
      <c r="F70" s="2" t="n">
        <v>114.16</v>
      </c>
      <c r="G70" s="2" t="n">
        <v>35</v>
      </c>
      <c r="H70" s="2" t="s">
        <v>81</v>
      </c>
      <c r="I70" s="2" t="s">
        <v>220</v>
      </c>
    </row>
    <row r="71" customFormat="false" ht="15" hidden="false" customHeight="false" outlineLevel="0" collapsed="false">
      <c r="A71" s="2" t="s">
        <v>221</v>
      </c>
      <c r="B71" s="2" t="s">
        <v>222</v>
      </c>
      <c r="C71" s="2" t="s">
        <v>33</v>
      </c>
      <c r="D71" s="2" t="s">
        <v>39</v>
      </c>
      <c r="E71" s="2" t="n">
        <v>89</v>
      </c>
      <c r="F71" s="2" t="n">
        <v>3682.19</v>
      </c>
      <c r="G71" s="2" t="n">
        <v>29</v>
      </c>
      <c r="H71" s="2" t="s">
        <v>13</v>
      </c>
      <c r="I71" s="2" t="s">
        <v>223</v>
      </c>
    </row>
    <row r="72" customFormat="false" ht="15" hidden="false" customHeight="false" outlineLevel="0" collapsed="false">
      <c r="A72" s="2" t="s">
        <v>224</v>
      </c>
      <c r="B72" s="2" t="s">
        <v>225</v>
      </c>
      <c r="C72" s="2" t="s">
        <v>11</v>
      </c>
      <c r="D72" s="2" t="s">
        <v>93</v>
      </c>
      <c r="E72" s="2" t="n">
        <v>260</v>
      </c>
      <c r="F72" s="2"/>
      <c r="G72" s="2" t="n">
        <v>16</v>
      </c>
      <c r="H72" s="2" t="s">
        <v>24</v>
      </c>
      <c r="I72" s="2" t="s">
        <v>226</v>
      </c>
    </row>
    <row r="73" customFormat="false" ht="15" hidden="false" customHeight="false" outlineLevel="0" collapsed="false">
      <c r="A73" s="2" t="s">
        <v>227</v>
      </c>
      <c r="B73" s="2" t="s">
        <v>128</v>
      </c>
      <c r="C73" s="2" t="s">
        <v>129</v>
      </c>
      <c r="D73" s="2" t="s">
        <v>34</v>
      </c>
      <c r="E73" s="2" t="n">
        <v>282</v>
      </c>
      <c r="F73" s="2" t="n">
        <v>1288.74</v>
      </c>
      <c r="G73" s="2" t="n">
        <v>11</v>
      </c>
      <c r="H73" s="2" t="s">
        <v>13</v>
      </c>
      <c r="I73" s="2" t="s">
        <v>228</v>
      </c>
    </row>
    <row r="74" customFormat="false" ht="15" hidden="false" customHeight="false" outlineLevel="0" collapsed="false">
      <c r="A74" s="2" t="s">
        <v>26</v>
      </c>
      <c r="B74" s="2" t="s">
        <v>27</v>
      </c>
      <c r="C74" s="2" t="s">
        <v>28</v>
      </c>
      <c r="D74" s="2" t="s">
        <v>29</v>
      </c>
      <c r="E74" s="2" t="n">
        <v>140</v>
      </c>
      <c r="F74" s="2" t="n">
        <v>3079.49</v>
      </c>
      <c r="G74" s="2" t="n">
        <v>23</v>
      </c>
      <c r="H74" s="2" t="s">
        <v>13</v>
      </c>
      <c r="I74" s="2" t="s">
        <v>30</v>
      </c>
    </row>
    <row r="75" customFormat="false" ht="15" hidden="false" customHeight="false" outlineLevel="0" collapsed="false">
      <c r="A75" s="2" t="s">
        <v>229</v>
      </c>
      <c r="B75" s="2" t="s">
        <v>120</v>
      </c>
      <c r="C75" s="2" t="s">
        <v>38</v>
      </c>
      <c r="D75" s="2" t="s">
        <v>93</v>
      </c>
      <c r="E75" s="2" t="n">
        <v>290</v>
      </c>
      <c r="F75" s="2" t="n">
        <v>1330.92</v>
      </c>
      <c r="G75" s="2" t="n">
        <v>34</v>
      </c>
      <c r="H75" s="2" t="s">
        <v>81</v>
      </c>
      <c r="I75" s="2" t="s">
        <v>230</v>
      </c>
    </row>
    <row r="76" customFormat="false" ht="15" hidden="false" customHeight="false" outlineLevel="0" collapsed="false">
      <c r="A76" s="2" t="s">
        <v>231</v>
      </c>
      <c r="B76" s="2" t="s">
        <v>207</v>
      </c>
      <c r="C76" s="2" t="s">
        <v>56</v>
      </c>
      <c r="D76" s="2" t="s">
        <v>12</v>
      </c>
      <c r="E76" s="2" t="n">
        <v>23</v>
      </c>
      <c r="F76" s="2" t="n">
        <v>2350.91</v>
      </c>
      <c r="G76" s="2" t="n">
        <v>14</v>
      </c>
      <c r="H76" s="2" t="s">
        <v>18</v>
      </c>
      <c r="I76" s="2" t="s">
        <v>232</v>
      </c>
    </row>
    <row r="77" customFormat="false" ht="15" hidden="false" customHeight="false" outlineLevel="0" collapsed="false">
      <c r="A77" s="2" t="s">
        <v>233</v>
      </c>
      <c r="B77" s="2" t="s">
        <v>157</v>
      </c>
      <c r="C77" s="2" t="s">
        <v>52</v>
      </c>
      <c r="D77" s="2" t="s">
        <v>117</v>
      </c>
      <c r="E77" s="2" t="n">
        <v>94</v>
      </c>
      <c r="F77" s="2"/>
      <c r="G77" s="2" t="n">
        <v>32</v>
      </c>
      <c r="H77" s="2" t="s">
        <v>18</v>
      </c>
      <c r="I77" s="2" t="s">
        <v>234</v>
      </c>
    </row>
    <row r="78" customFormat="false" ht="15" hidden="false" customHeight="false" outlineLevel="0" collapsed="false">
      <c r="A78" s="2" t="s">
        <v>76</v>
      </c>
      <c r="B78" s="2" t="s">
        <v>77</v>
      </c>
      <c r="C78" s="2" t="s">
        <v>22</v>
      </c>
      <c r="D78" s="2" t="s">
        <v>48</v>
      </c>
      <c r="E78" s="2" t="n">
        <v>121</v>
      </c>
      <c r="F78" s="2"/>
      <c r="G78" s="2" t="n">
        <v>13</v>
      </c>
      <c r="H78" s="2" t="s">
        <v>40</v>
      </c>
      <c r="I78" s="2" t="s">
        <v>78</v>
      </c>
    </row>
    <row r="79" customFormat="false" ht="15" hidden="false" customHeight="false" outlineLevel="0" collapsed="false">
      <c r="A79" s="2" t="s">
        <v>235</v>
      </c>
      <c r="B79" s="2" t="s">
        <v>236</v>
      </c>
      <c r="C79" s="2" t="s">
        <v>129</v>
      </c>
      <c r="D79" s="2" t="s">
        <v>12</v>
      </c>
      <c r="E79" s="2" t="n">
        <v>40</v>
      </c>
      <c r="F79" s="2" t="n">
        <v>1152.54</v>
      </c>
      <c r="G79" s="2" t="n">
        <v>30</v>
      </c>
      <c r="H79" s="2" t="s">
        <v>13</v>
      </c>
      <c r="I79" s="2" t="s">
        <v>237</v>
      </c>
    </row>
    <row r="80" customFormat="false" ht="15" hidden="false" customHeight="false" outlineLevel="0" collapsed="false">
      <c r="A80" s="2" t="s">
        <v>238</v>
      </c>
      <c r="B80" s="2" t="s">
        <v>71</v>
      </c>
      <c r="C80" s="2" t="s">
        <v>61</v>
      </c>
      <c r="D80" s="2" t="s">
        <v>39</v>
      </c>
      <c r="E80" s="2" t="n">
        <v>114</v>
      </c>
      <c r="F80" s="2" t="n">
        <v>3076.32</v>
      </c>
      <c r="G80" s="2" t="n">
        <v>16</v>
      </c>
      <c r="H80" s="2" t="s">
        <v>44</v>
      </c>
      <c r="I80" s="2" t="s">
        <v>239</v>
      </c>
    </row>
    <row r="81" customFormat="false" ht="15" hidden="false" customHeight="false" outlineLevel="0" collapsed="false">
      <c r="A81" s="2" t="s">
        <v>240</v>
      </c>
      <c r="B81" s="2" t="s">
        <v>138</v>
      </c>
      <c r="C81" s="2" t="s">
        <v>99</v>
      </c>
      <c r="D81" s="2" t="s">
        <v>57</v>
      </c>
      <c r="E81" s="2" t="n">
        <v>260</v>
      </c>
      <c r="F81" s="2" t="n">
        <v>1202.85</v>
      </c>
      <c r="G81" s="2" t="n">
        <v>32</v>
      </c>
      <c r="H81" s="2" t="s">
        <v>24</v>
      </c>
      <c r="I81" s="2" t="s">
        <v>241</v>
      </c>
    </row>
    <row r="82" customFormat="false" ht="15" hidden="false" customHeight="false" outlineLevel="0" collapsed="false">
      <c r="A82" s="2" t="s">
        <v>242</v>
      </c>
      <c r="B82" s="2" t="s">
        <v>74</v>
      </c>
      <c r="C82" s="2" t="s">
        <v>38</v>
      </c>
      <c r="D82" s="2" t="s">
        <v>68</v>
      </c>
      <c r="E82" s="2" t="n">
        <v>27</v>
      </c>
      <c r="F82" s="2"/>
      <c r="G82" s="2" t="n">
        <v>39</v>
      </c>
      <c r="H82" s="2" t="s">
        <v>18</v>
      </c>
      <c r="I82" s="2" t="s">
        <v>243</v>
      </c>
    </row>
    <row r="83" customFormat="false" ht="15" hidden="false" customHeight="false" outlineLevel="0" collapsed="false">
      <c r="A83" s="2" t="s">
        <v>108</v>
      </c>
      <c r="B83" s="2" t="s">
        <v>77</v>
      </c>
      <c r="C83" s="2" t="s">
        <v>109</v>
      </c>
      <c r="D83" s="2" t="s">
        <v>57</v>
      </c>
      <c r="E83" s="2" t="n">
        <v>82</v>
      </c>
      <c r="F83" s="2" t="n">
        <v>196.23</v>
      </c>
      <c r="G83" s="2" t="n">
        <v>26</v>
      </c>
      <c r="H83" s="2" t="s">
        <v>13</v>
      </c>
      <c r="I83" s="2" t="s">
        <v>110</v>
      </c>
    </row>
    <row r="84" customFormat="false" ht="15" hidden="false" customHeight="false" outlineLevel="0" collapsed="false">
      <c r="A84" s="2" t="s">
        <v>244</v>
      </c>
      <c r="B84" s="2" t="s">
        <v>55</v>
      </c>
      <c r="C84" s="2" t="s">
        <v>245</v>
      </c>
      <c r="D84" s="2" t="s">
        <v>68</v>
      </c>
      <c r="E84" s="2" t="n">
        <v>48</v>
      </c>
      <c r="F84" s="2"/>
      <c r="G84" s="2" t="n">
        <v>29</v>
      </c>
      <c r="H84" s="2" t="s">
        <v>24</v>
      </c>
      <c r="I84" s="2" t="s">
        <v>246</v>
      </c>
    </row>
    <row r="85" customFormat="false" ht="15" hidden="false" customHeight="false" outlineLevel="0" collapsed="false">
      <c r="A85" s="2" t="s">
        <v>224</v>
      </c>
      <c r="B85" s="2" t="s">
        <v>225</v>
      </c>
      <c r="C85" s="2" t="s">
        <v>11</v>
      </c>
      <c r="D85" s="2" t="s">
        <v>93</v>
      </c>
      <c r="E85" s="2" t="n">
        <v>260</v>
      </c>
      <c r="F85" s="2"/>
      <c r="G85" s="2" t="n">
        <v>16</v>
      </c>
      <c r="H85" s="2" t="s">
        <v>24</v>
      </c>
      <c r="I85" s="2" t="s">
        <v>226</v>
      </c>
    </row>
    <row r="86" customFormat="false" ht="15" hidden="false" customHeight="false" outlineLevel="0" collapsed="false">
      <c r="A86" s="2" t="s">
        <v>247</v>
      </c>
      <c r="B86" s="2" t="s">
        <v>64</v>
      </c>
      <c r="C86" s="2" t="s">
        <v>104</v>
      </c>
      <c r="D86" s="2" t="s">
        <v>200</v>
      </c>
      <c r="E86" s="2" t="n">
        <v>129</v>
      </c>
      <c r="F86" s="2" t="n">
        <v>3101.3</v>
      </c>
      <c r="G86" s="2" t="n">
        <v>37</v>
      </c>
      <c r="H86" s="2" t="s">
        <v>40</v>
      </c>
      <c r="I86" s="2" t="s">
        <v>248</v>
      </c>
    </row>
    <row r="87" customFormat="false" ht="15" hidden="false" customHeight="false" outlineLevel="0" collapsed="false">
      <c r="A87" s="2" t="s">
        <v>249</v>
      </c>
      <c r="B87" s="2" t="s">
        <v>250</v>
      </c>
      <c r="C87" s="2" t="s">
        <v>92</v>
      </c>
      <c r="D87" s="2" t="s">
        <v>203</v>
      </c>
      <c r="E87" s="2" t="n">
        <v>269</v>
      </c>
      <c r="F87" s="2"/>
      <c r="G87" s="2" t="n">
        <v>12</v>
      </c>
      <c r="H87" s="2" t="s">
        <v>24</v>
      </c>
      <c r="I87" s="2" t="s">
        <v>107</v>
      </c>
    </row>
    <row r="88" customFormat="false" ht="15" hidden="false" customHeight="false" outlineLevel="0" collapsed="false">
      <c r="A88" s="2" t="s">
        <v>251</v>
      </c>
      <c r="B88" s="2" t="s">
        <v>252</v>
      </c>
      <c r="C88" s="2" t="s">
        <v>28</v>
      </c>
      <c r="D88" s="2" t="s">
        <v>203</v>
      </c>
      <c r="E88" s="2" t="n">
        <v>68</v>
      </c>
      <c r="F88" s="2" t="n">
        <v>1251.29</v>
      </c>
      <c r="G88" s="2" t="n">
        <v>15</v>
      </c>
      <c r="H88" s="2" t="s">
        <v>24</v>
      </c>
      <c r="I88" s="2" t="s">
        <v>253</v>
      </c>
    </row>
    <row r="89" customFormat="false" ht="15" hidden="false" customHeight="false" outlineLevel="0" collapsed="false">
      <c r="A89" s="2" t="s">
        <v>254</v>
      </c>
      <c r="B89" s="2" t="s">
        <v>255</v>
      </c>
      <c r="C89" s="2" t="s">
        <v>87</v>
      </c>
      <c r="D89" s="2" t="s">
        <v>57</v>
      </c>
      <c r="E89" s="2" t="n">
        <v>44</v>
      </c>
      <c r="F89" s="2" t="n">
        <v>2324.25</v>
      </c>
      <c r="G89" s="2" t="n">
        <v>28</v>
      </c>
      <c r="H89" s="2"/>
      <c r="I89" s="2" t="s">
        <v>256</v>
      </c>
    </row>
    <row r="90" customFormat="false" ht="15" hidden="false" customHeight="false" outlineLevel="0" collapsed="false">
      <c r="A90" s="2" t="s">
        <v>257</v>
      </c>
      <c r="B90" s="2" t="s">
        <v>172</v>
      </c>
      <c r="C90" s="2" t="s">
        <v>33</v>
      </c>
      <c r="D90" s="2" t="s">
        <v>48</v>
      </c>
      <c r="E90" s="2" t="n">
        <v>284</v>
      </c>
      <c r="F90" s="2" t="n">
        <v>3596.35</v>
      </c>
      <c r="G90" s="2" t="n">
        <v>25</v>
      </c>
      <c r="H90" s="2" t="s">
        <v>44</v>
      </c>
      <c r="I90" s="2" t="s">
        <v>190</v>
      </c>
    </row>
    <row r="91" customFormat="false" ht="15" hidden="false" customHeight="false" outlineLevel="0" collapsed="false">
      <c r="A91" s="2" t="s">
        <v>258</v>
      </c>
      <c r="B91" s="2" t="s">
        <v>252</v>
      </c>
      <c r="C91" s="2" t="s">
        <v>259</v>
      </c>
      <c r="D91" s="2" t="s">
        <v>34</v>
      </c>
      <c r="E91" s="2" t="n">
        <v>167</v>
      </c>
      <c r="F91" s="2"/>
      <c r="G91" s="2" t="n">
        <v>31</v>
      </c>
      <c r="H91" s="2" t="s">
        <v>13</v>
      </c>
      <c r="I91" s="2" t="s">
        <v>220</v>
      </c>
    </row>
    <row r="92" customFormat="false" ht="15" hidden="false" customHeight="false" outlineLevel="0" collapsed="false">
      <c r="A92" s="2" t="s">
        <v>260</v>
      </c>
      <c r="B92" s="2" t="s">
        <v>16</v>
      </c>
      <c r="C92" s="2" t="s">
        <v>17</v>
      </c>
      <c r="D92" s="2" t="s">
        <v>43</v>
      </c>
      <c r="E92" s="2" t="n">
        <v>109</v>
      </c>
      <c r="F92" s="2" t="n">
        <v>884.37</v>
      </c>
      <c r="G92" s="2" t="n">
        <v>14</v>
      </c>
      <c r="H92" s="2" t="s">
        <v>24</v>
      </c>
      <c r="I92" s="2" t="s">
        <v>261</v>
      </c>
    </row>
    <row r="93" customFormat="false" ht="15" hidden="false" customHeight="false" outlineLevel="0" collapsed="false">
      <c r="A93" s="2" t="s">
        <v>215</v>
      </c>
      <c r="B93" s="2" t="s">
        <v>71</v>
      </c>
      <c r="C93" s="2" t="s">
        <v>61</v>
      </c>
      <c r="D93" s="2" t="s">
        <v>48</v>
      </c>
      <c r="E93" s="2" t="n">
        <v>127</v>
      </c>
      <c r="F93" s="2" t="n">
        <v>3244.06</v>
      </c>
      <c r="G93" s="2" t="n">
        <v>25</v>
      </c>
      <c r="H93" s="2" t="s">
        <v>44</v>
      </c>
      <c r="I93" s="2" t="s">
        <v>194</v>
      </c>
    </row>
    <row r="94" customFormat="false" ht="15" hidden="false" customHeight="false" outlineLevel="0" collapsed="false">
      <c r="A94" s="2" t="s">
        <v>262</v>
      </c>
      <c r="B94" s="2" t="s">
        <v>27</v>
      </c>
      <c r="C94" s="2" t="s">
        <v>28</v>
      </c>
      <c r="D94" s="2" t="s">
        <v>88</v>
      </c>
      <c r="E94" s="2" t="n">
        <v>168</v>
      </c>
      <c r="F94" s="2" t="n">
        <v>3450.07</v>
      </c>
      <c r="G94" s="2" t="n">
        <v>22</v>
      </c>
      <c r="H94" s="2" t="s">
        <v>44</v>
      </c>
      <c r="I94" s="2" t="s">
        <v>263</v>
      </c>
    </row>
    <row r="95" customFormat="false" ht="15" hidden="false" customHeight="false" outlineLevel="0" collapsed="false">
      <c r="A95" s="2" t="s">
        <v>264</v>
      </c>
      <c r="B95" s="2" t="s">
        <v>95</v>
      </c>
      <c r="C95" s="2" t="s">
        <v>169</v>
      </c>
      <c r="D95" s="2" t="s">
        <v>57</v>
      </c>
      <c r="E95" s="2" t="n">
        <v>162</v>
      </c>
      <c r="F95" s="2" t="n">
        <v>1001.44</v>
      </c>
      <c r="G95" s="2" t="n">
        <v>28</v>
      </c>
      <c r="H95" s="2" t="s">
        <v>81</v>
      </c>
      <c r="I95" s="2" t="s">
        <v>265</v>
      </c>
    </row>
    <row r="96" customFormat="false" ht="15" hidden="false" customHeight="false" outlineLevel="0" collapsed="false">
      <c r="A96" s="2" t="s">
        <v>266</v>
      </c>
      <c r="B96" s="2" t="s">
        <v>267</v>
      </c>
      <c r="C96" s="2" t="s">
        <v>268</v>
      </c>
      <c r="D96" s="2" t="s">
        <v>43</v>
      </c>
      <c r="E96" s="2" t="n">
        <v>32</v>
      </c>
      <c r="F96" s="2" t="n">
        <v>2804.8</v>
      </c>
      <c r="G96" s="2" t="n">
        <v>14</v>
      </c>
      <c r="H96" s="2" t="s">
        <v>40</v>
      </c>
      <c r="I96" s="2" t="s">
        <v>269</v>
      </c>
    </row>
    <row r="97" customFormat="false" ht="15" hidden="false" customHeight="false" outlineLevel="0" collapsed="false">
      <c r="A97" s="2" t="s">
        <v>270</v>
      </c>
      <c r="B97" s="2" t="s">
        <v>10</v>
      </c>
      <c r="C97" s="2" t="s">
        <v>11</v>
      </c>
      <c r="D97" s="2" t="s">
        <v>23</v>
      </c>
      <c r="E97" s="2" t="n">
        <v>141</v>
      </c>
      <c r="F97" s="2" t="n">
        <v>332.07</v>
      </c>
      <c r="G97" s="2" t="n">
        <v>15</v>
      </c>
      <c r="H97" s="2" t="s">
        <v>24</v>
      </c>
      <c r="I97" s="2" t="s">
        <v>271</v>
      </c>
    </row>
    <row r="98" customFormat="false" ht="15" hidden="false" customHeight="false" outlineLevel="0" collapsed="false">
      <c r="A98" s="2" t="s">
        <v>272</v>
      </c>
      <c r="B98" s="2" t="s">
        <v>273</v>
      </c>
      <c r="C98" s="2" t="s">
        <v>87</v>
      </c>
      <c r="D98" s="2" t="s">
        <v>200</v>
      </c>
      <c r="E98" s="2" t="n">
        <v>292</v>
      </c>
      <c r="F98" s="2" t="n">
        <v>3282.79</v>
      </c>
      <c r="G98" s="2" t="n">
        <v>29</v>
      </c>
      <c r="H98" s="2" t="s">
        <v>40</v>
      </c>
      <c r="I98" s="2" t="s">
        <v>274</v>
      </c>
    </row>
    <row r="99" customFormat="false" ht="15" hidden="false" customHeight="false" outlineLevel="0" collapsed="false">
      <c r="A99" s="2" t="s">
        <v>275</v>
      </c>
      <c r="B99" s="2" t="s">
        <v>276</v>
      </c>
      <c r="C99" s="2" t="s">
        <v>61</v>
      </c>
      <c r="D99" s="2" t="s">
        <v>43</v>
      </c>
      <c r="E99" s="2" t="n">
        <v>51</v>
      </c>
      <c r="F99" s="2" t="n">
        <v>2052.92</v>
      </c>
      <c r="G99" s="2" t="n">
        <v>24</v>
      </c>
      <c r="H99" s="2" t="s">
        <v>13</v>
      </c>
      <c r="I99" s="2" t="s">
        <v>277</v>
      </c>
    </row>
    <row r="100" customFormat="false" ht="15" hidden="false" customHeight="false" outlineLevel="0" collapsed="false">
      <c r="A100" s="2" t="s">
        <v>278</v>
      </c>
      <c r="B100" s="2" t="s">
        <v>279</v>
      </c>
      <c r="C100" s="2" t="s">
        <v>104</v>
      </c>
      <c r="D100" s="2" t="s">
        <v>161</v>
      </c>
      <c r="E100" s="2" t="n">
        <v>285</v>
      </c>
      <c r="F100" s="2" t="n">
        <v>678.67</v>
      </c>
      <c r="G100" s="2" t="n">
        <v>37</v>
      </c>
      <c r="H100" s="2" t="s">
        <v>18</v>
      </c>
      <c r="I100" s="2" t="s">
        <v>151</v>
      </c>
    </row>
    <row r="101" customFormat="false" ht="15" hidden="false" customHeight="false" outlineLevel="0" collapsed="false">
      <c r="A101" s="2" t="s">
        <v>280</v>
      </c>
      <c r="B101" s="2" t="s">
        <v>225</v>
      </c>
      <c r="C101" s="2" t="s">
        <v>268</v>
      </c>
      <c r="D101" s="2" t="s">
        <v>161</v>
      </c>
      <c r="E101" s="2" t="n">
        <v>127</v>
      </c>
      <c r="F101" s="2" t="n">
        <v>1277.46</v>
      </c>
      <c r="G101" s="2" t="n">
        <v>10</v>
      </c>
      <c r="H101" s="2" t="s">
        <v>13</v>
      </c>
      <c r="I101" s="2" t="s">
        <v>281</v>
      </c>
    </row>
    <row r="102" customFormat="false" ht="15" hidden="false" customHeight="false" outlineLevel="0" collapsed="false">
      <c r="A102" s="2" t="s">
        <v>282</v>
      </c>
      <c r="B102" s="2" t="s">
        <v>55</v>
      </c>
      <c r="C102" s="2" t="s">
        <v>56</v>
      </c>
      <c r="D102" s="2" t="s">
        <v>203</v>
      </c>
      <c r="E102" s="2" t="n">
        <v>225</v>
      </c>
      <c r="F102" s="2" t="n">
        <v>2446.31</v>
      </c>
      <c r="G102" s="2" t="n">
        <v>20</v>
      </c>
      <c r="H102" s="2" t="s">
        <v>18</v>
      </c>
      <c r="I102" s="2" t="s">
        <v>283</v>
      </c>
    </row>
    <row r="103" customFormat="false" ht="15" hidden="false" customHeight="false" outlineLevel="0" collapsed="false">
      <c r="A103" s="2" t="s">
        <v>284</v>
      </c>
      <c r="B103" s="2" t="s">
        <v>285</v>
      </c>
      <c r="C103" s="2" t="s">
        <v>109</v>
      </c>
      <c r="D103" s="2" t="s">
        <v>43</v>
      </c>
      <c r="E103" s="2" t="n">
        <v>118</v>
      </c>
      <c r="F103" s="2" t="n">
        <v>2559.85</v>
      </c>
      <c r="G103" s="2" t="n">
        <v>24</v>
      </c>
      <c r="H103" s="2" t="s">
        <v>40</v>
      </c>
      <c r="I103" s="2" t="s">
        <v>286</v>
      </c>
    </row>
    <row r="104" customFormat="false" ht="15" hidden="false" customHeight="false" outlineLevel="0" collapsed="false">
      <c r="A104" s="2" t="s">
        <v>287</v>
      </c>
      <c r="B104" s="2" t="s">
        <v>86</v>
      </c>
      <c r="C104" s="2" t="s">
        <v>17</v>
      </c>
      <c r="D104" s="2" t="s">
        <v>203</v>
      </c>
      <c r="E104" s="2" t="n">
        <v>51</v>
      </c>
      <c r="F104" s="2" t="n">
        <v>418.26</v>
      </c>
      <c r="G104" s="2" t="n">
        <v>13</v>
      </c>
      <c r="H104" s="2" t="s">
        <v>40</v>
      </c>
      <c r="I104" s="2" t="s">
        <v>288</v>
      </c>
    </row>
    <row r="105" customFormat="false" ht="15" hidden="false" customHeight="false" outlineLevel="0" collapsed="false">
      <c r="A105" s="2" t="s">
        <v>289</v>
      </c>
      <c r="B105" s="2" t="s">
        <v>222</v>
      </c>
      <c r="C105" s="2" t="s">
        <v>33</v>
      </c>
      <c r="D105" s="2" t="s">
        <v>43</v>
      </c>
      <c r="E105" s="2" t="n">
        <v>281</v>
      </c>
      <c r="F105" s="2"/>
      <c r="G105" s="2" t="n">
        <v>17</v>
      </c>
      <c r="H105" s="2" t="s">
        <v>40</v>
      </c>
      <c r="I105" s="2" t="s">
        <v>290</v>
      </c>
    </row>
    <row r="106" customFormat="false" ht="15" hidden="false" customHeight="false" outlineLevel="0" collapsed="false">
      <c r="A106" s="2" t="s">
        <v>291</v>
      </c>
      <c r="B106" s="2" t="s">
        <v>292</v>
      </c>
      <c r="C106" s="2" t="s">
        <v>245</v>
      </c>
      <c r="D106" s="2" t="s">
        <v>57</v>
      </c>
      <c r="E106" s="2" t="n">
        <v>204</v>
      </c>
      <c r="F106" s="2"/>
      <c r="G106" s="2" t="n">
        <v>24</v>
      </c>
      <c r="H106" s="2" t="s">
        <v>24</v>
      </c>
      <c r="I106" s="2" t="s">
        <v>293</v>
      </c>
    </row>
    <row r="107" customFormat="false" ht="15" hidden="false" customHeight="false" outlineLevel="0" collapsed="false">
      <c r="A107" s="2" t="s">
        <v>294</v>
      </c>
      <c r="B107" s="2" t="s">
        <v>279</v>
      </c>
      <c r="C107" s="2" t="s">
        <v>104</v>
      </c>
      <c r="D107" s="2" t="s">
        <v>117</v>
      </c>
      <c r="E107" s="2" t="n">
        <v>248</v>
      </c>
      <c r="F107" s="2" t="n">
        <v>3085.53</v>
      </c>
      <c r="G107" s="2" t="n">
        <v>24</v>
      </c>
      <c r="H107" s="2" t="s">
        <v>18</v>
      </c>
      <c r="I107" s="2" t="s">
        <v>295</v>
      </c>
    </row>
    <row r="108" customFormat="false" ht="15" hidden="false" customHeight="false" outlineLevel="0" collapsed="false">
      <c r="A108" s="2" t="s">
        <v>221</v>
      </c>
      <c r="B108" s="2" t="s">
        <v>222</v>
      </c>
      <c r="C108" s="2" t="s">
        <v>33</v>
      </c>
      <c r="D108" s="2" t="s">
        <v>39</v>
      </c>
      <c r="E108" s="2" t="n">
        <v>89</v>
      </c>
      <c r="F108" s="2" t="n">
        <v>3682.19</v>
      </c>
      <c r="G108" s="2" t="n">
        <v>29</v>
      </c>
      <c r="H108" s="2" t="s">
        <v>13</v>
      </c>
      <c r="I108" s="2" t="s">
        <v>223</v>
      </c>
    </row>
    <row r="109" customFormat="false" ht="15" hidden="false" customHeight="false" outlineLevel="0" collapsed="false">
      <c r="A109" s="2" t="s">
        <v>296</v>
      </c>
      <c r="B109" s="2" t="s">
        <v>279</v>
      </c>
      <c r="C109" s="2" t="s">
        <v>65</v>
      </c>
      <c r="D109" s="2" t="s">
        <v>34</v>
      </c>
      <c r="E109" s="2" t="n">
        <v>7</v>
      </c>
      <c r="F109" s="2" t="n">
        <v>3448.74</v>
      </c>
      <c r="G109" s="2" t="n">
        <v>38</v>
      </c>
      <c r="H109" s="2" t="s">
        <v>81</v>
      </c>
      <c r="I109" s="2" t="s">
        <v>297</v>
      </c>
    </row>
    <row r="110" customFormat="false" ht="15" hidden="false" customHeight="false" outlineLevel="0" collapsed="false">
      <c r="A110" s="2" t="s">
        <v>298</v>
      </c>
      <c r="B110" s="2" t="s">
        <v>299</v>
      </c>
      <c r="C110" s="2" t="s">
        <v>300</v>
      </c>
      <c r="D110" s="2" t="s">
        <v>43</v>
      </c>
      <c r="E110" s="2" t="n">
        <v>163</v>
      </c>
      <c r="F110" s="2" t="n">
        <v>925.21</v>
      </c>
      <c r="G110" s="2" t="n">
        <v>34</v>
      </c>
      <c r="H110" s="2" t="s">
        <v>44</v>
      </c>
      <c r="I110" s="2" t="s">
        <v>301</v>
      </c>
    </row>
    <row r="111" customFormat="false" ht="15" hidden="false" customHeight="false" outlineLevel="0" collapsed="false">
      <c r="A111" s="2" t="s">
        <v>302</v>
      </c>
      <c r="B111" s="2" t="s">
        <v>303</v>
      </c>
      <c r="C111" s="2" t="s">
        <v>182</v>
      </c>
      <c r="D111" s="2" t="s">
        <v>23</v>
      </c>
      <c r="E111" s="2" t="n">
        <v>273</v>
      </c>
      <c r="F111" s="2" t="n">
        <v>677.05</v>
      </c>
      <c r="G111" s="2" t="n">
        <v>21</v>
      </c>
      <c r="H111" s="2" t="s">
        <v>24</v>
      </c>
      <c r="I111" s="2" t="s">
        <v>304</v>
      </c>
    </row>
    <row r="112" customFormat="false" ht="15" hidden="false" customHeight="false" outlineLevel="0" collapsed="false">
      <c r="A112" s="2" t="s">
        <v>305</v>
      </c>
      <c r="B112" s="2" t="s">
        <v>306</v>
      </c>
      <c r="C112" s="2" t="s">
        <v>61</v>
      </c>
      <c r="D112" s="2" t="s">
        <v>34</v>
      </c>
      <c r="E112" s="2" t="n">
        <v>53</v>
      </c>
      <c r="F112" s="2" t="n">
        <v>1576.93</v>
      </c>
      <c r="G112" s="2" t="n">
        <v>18</v>
      </c>
      <c r="H112" s="2" t="s">
        <v>40</v>
      </c>
      <c r="I112" s="2" t="s">
        <v>307</v>
      </c>
    </row>
    <row r="113" customFormat="false" ht="15" hidden="false" customHeight="false" outlineLevel="0" collapsed="false">
      <c r="A113" s="2" t="s">
        <v>308</v>
      </c>
      <c r="B113" s="2" t="s">
        <v>125</v>
      </c>
      <c r="C113" s="2" t="s">
        <v>38</v>
      </c>
      <c r="D113" s="2" t="s">
        <v>161</v>
      </c>
      <c r="E113" s="2" t="n">
        <v>52</v>
      </c>
      <c r="F113" s="2"/>
      <c r="G113" s="2" t="n">
        <v>15</v>
      </c>
      <c r="H113" s="2" t="s">
        <v>18</v>
      </c>
      <c r="I113" s="2" t="s">
        <v>309</v>
      </c>
    </row>
    <row r="114" customFormat="false" ht="15" hidden="false" customHeight="false" outlineLevel="0" collapsed="false">
      <c r="A114" s="2" t="s">
        <v>310</v>
      </c>
      <c r="B114" s="2" t="s">
        <v>32</v>
      </c>
      <c r="C114" s="2" t="s">
        <v>104</v>
      </c>
      <c r="D114" s="2" t="s">
        <v>43</v>
      </c>
      <c r="E114" s="2" t="n">
        <v>128</v>
      </c>
      <c r="F114" s="2" t="n">
        <v>2601.32</v>
      </c>
      <c r="G114" s="2" t="n">
        <v>25</v>
      </c>
      <c r="H114" s="2" t="s">
        <v>18</v>
      </c>
      <c r="I114" s="2" t="s">
        <v>167</v>
      </c>
    </row>
    <row r="115" customFormat="false" ht="15" hidden="false" customHeight="false" outlineLevel="0" collapsed="false">
      <c r="A115" s="2" t="s">
        <v>311</v>
      </c>
      <c r="B115" s="2" t="s">
        <v>312</v>
      </c>
      <c r="C115" s="2" t="s">
        <v>11</v>
      </c>
      <c r="D115" s="2" t="s">
        <v>43</v>
      </c>
      <c r="E115" s="2" t="n">
        <v>127</v>
      </c>
      <c r="F115" s="2" t="n">
        <v>346.51</v>
      </c>
      <c r="G115" s="2" t="n">
        <v>10</v>
      </c>
      <c r="H115" s="2" t="s">
        <v>18</v>
      </c>
      <c r="I115" s="2" t="s">
        <v>313</v>
      </c>
    </row>
    <row r="116" customFormat="false" ht="15" hidden="false" customHeight="false" outlineLevel="0" collapsed="false">
      <c r="A116" s="2" t="s">
        <v>314</v>
      </c>
      <c r="B116" s="2" t="s">
        <v>267</v>
      </c>
      <c r="C116" s="2" t="s">
        <v>11</v>
      </c>
      <c r="D116" s="2" t="s">
        <v>117</v>
      </c>
      <c r="E116" s="2" t="n">
        <v>103</v>
      </c>
      <c r="F116" s="2" t="n">
        <v>2984.38</v>
      </c>
      <c r="G116" s="2" t="n">
        <v>40</v>
      </c>
      <c r="H116" s="2" t="s">
        <v>40</v>
      </c>
      <c r="I116" s="2" t="s">
        <v>315</v>
      </c>
    </row>
    <row r="117" customFormat="false" ht="15" hidden="false" customHeight="false" outlineLevel="0" collapsed="false">
      <c r="A117" s="2" t="s">
        <v>316</v>
      </c>
      <c r="B117" s="2" t="s">
        <v>150</v>
      </c>
      <c r="C117" s="2" t="s">
        <v>28</v>
      </c>
      <c r="D117" s="2" t="s">
        <v>23</v>
      </c>
      <c r="E117" s="2" t="n">
        <v>97</v>
      </c>
      <c r="F117" s="2" t="n">
        <v>1318.79</v>
      </c>
      <c r="G117" s="2" t="n">
        <v>12</v>
      </c>
      <c r="H117" s="2" t="s">
        <v>24</v>
      </c>
      <c r="I117" s="2" t="s">
        <v>317</v>
      </c>
    </row>
    <row r="118" customFormat="false" ht="15" hidden="false" customHeight="false" outlineLevel="0" collapsed="false">
      <c r="A118" s="2" t="s">
        <v>318</v>
      </c>
      <c r="B118" s="2" t="s">
        <v>279</v>
      </c>
      <c r="C118" s="2" t="s">
        <v>104</v>
      </c>
      <c r="D118" s="2" t="s">
        <v>93</v>
      </c>
      <c r="E118" s="2" t="n">
        <v>290</v>
      </c>
      <c r="F118" s="2" t="n">
        <v>3400.93</v>
      </c>
      <c r="G118" s="2" t="n">
        <v>24</v>
      </c>
      <c r="H118" s="2" t="s">
        <v>44</v>
      </c>
      <c r="I118" s="2" t="s">
        <v>319</v>
      </c>
    </row>
    <row r="119" customFormat="false" ht="15" hidden="false" customHeight="false" outlineLevel="0" collapsed="false">
      <c r="A119" s="2" t="s">
        <v>320</v>
      </c>
      <c r="B119" s="2" t="s">
        <v>179</v>
      </c>
      <c r="C119" s="2" t="s">
        <v>123</v>
      </c>
      <c r="D119" s="2" t="s">
        <v>88</v>
      </c>
      <c r="E119" s="2" t="n">
        <v>136</v>
      </c>
      <c r="F119" s="2" t="n">
        <v>3779.54</v>
      </c>
      <c r="G119" s="2" t="n">
        <v>40</v>
      </c>
      <c r="H119" s="2" t="s">
        <v>24</v>
      </c>
      <c r="I119" s="2" t="s">
        <v>321</v>
      </c>
    </row>
    <row r="120" customFormat="false" ht="15" hidden="false" customHeight="false" outlineLevel="0" collapsed="false">
      <c r="A120" s="2" t="s">
        <v>322</v>
      </c>
      <c r="B120" s="2" t="s">
        <v>125</v>
      </c>
      <c r="C120" s="2" t="s">
        <v>169</v>
      </c>
      <c r="D120" s="2" t="s">
        <v>12</v>
      </c>
      <c r="E120" s="2" t="n">
        <v>32</v>
      </c>
      <c r="F120" s="2" t="n">
        <v>3937.45</v>
      </c>
      <c r="G120" s="2" t="n">
        <v>13</v>
      </c>
      <c r="H120" s="2" t="s">
        <v>81</v>
      </c>
      <c r="I120" s="2" t="s">
        <v>323</v>
      </c>
    </row>
    <row r="121" customFormat="false" ht="15" hidden="false" customHeight="false" outlineLevel="0" collapsed="false">
      <c r="A121" s="2" t="s">
        <v>324</v>
      </c>
      <c r="B121" s="2" t="s">
        <v>120</v>
      </c>
      <c r="C121" s="2" t="s">
        <v>38</v>
      </c>
      <c r="D121" s="2" t="s">
        <v>57</v>
      </c>
      <c r="E121" s="2" t="n">
        <v>121</v>
      </c>
      <c r="F121" s="2" t="n">
        <v>3941.63</v>
      </c>
      <c r="G121" s="2" t="n">
        <v>37</v>
      </c>
      <c r="H121" s="2" t="s">
        <v>44</v>
      </c>
      <c r="I121" s="2" t="s">
        <v>325</v>
      </c>
    </row>
    <row r="122" customFormat="false" ht="15" hidden="false" customHeight="false" outlineLevel="0" collapsed="false">
      <c r="A122" s="2" t="s">
        <v>326</v>
      </c>
      <c r="B122" s="2" t="s">
        <v>153</v>
      </c>
      <c r="C122" s="2" t="s">
        <v>61</v>
      </c>
      <c r="D122" s="2" t="s">
        <v>29</v>
      </c>
      <c r="E122" s="2" t="n">
        <v>160</v>
      </c>
      <c r="F122" s="2" t="n">
        <v>2386.11</v>
      </c>
      <c r="G122" s="2" t="n">
        <v>21</v>
      </c>
      <c r="H122" s="2" t="s">
        <v>13</v>
      </c>
      <c r="I122" s="2" t="s">
        <v>327</v>
      </c>
    </row>
    <row r="123" customFormat="false" ht="15" hidden="false" customHeight="false" outlineLevel="0" collapsed="false">
      <c r="A123" s="2" t="s">
        <v>149</v>
      </c>
      <c r="B123" s="2" t="s">
        <v>150</v>
      </c>
      <c r="C123" s="2" t="s">
        <v>28</v>
      </c>
      <c r="D123" s="2" t="s">
        <v>68</v>
      </c>
      <c r="E123" s="2" t="n">
        <v>201</v>
      </c>
      <c r="F123" s="2" t="n">
        <v>177.92</v>
      </c>
      <c r="G123" s="2" t="n">
        <v>14</v>
      </c>
      <c r="H123" s="2" t="s">
        <v>40</v>
      </c>
      <c r="I123" s="2" t="s">
        <v>151</v>
      </c>
    </row>
    <row r="124" customFormat="false" ht="15" hidden="false" customHeight="false" outlineLevel="0" collapsed="false">
      <c r="A124" s="2" t="s">
        <v>328</v>
      </c>
      <c r="B124" s="2" t="s">
        <v>329</v>
      </c>
      <c r="C124" s="2" t="s">
        <v>99</v>
      </c>
      <c r="D124" s="2" t="s">
        <v>57</v>
      </c>
      <c r="E124" s="2" t="n">
        <v>81</v>
      </c>
      <c r="F124" s="2" t="n">
        <v>3799.05</v>
      </c>
      <c r="G124" s="2" t="n">
        <v>12</v>
      </c>
      <c r="H124" s="2" t="s">
        <v>44</v>
      </c>
      <c r="I124" s="2" t="s">
        <v>330</v>
      </c>
    </row>
    <row r="125" customFormat="false" ht="15" hidden="false" customHeight="false" outlineLevel="0" collapsed="false">
      <c r="A125" s="2" t="s">
        <v>331</v>
      </c>
      <c r="B125" s="2" t="s">
        <v>222</v>
      </c>
      <c r="C125" s="2" t="s">
        <v>104</v>
      </c>
      <c r="D125" s="2" t="s">
        <v>48</v>
      </c>
      <c r="E125" s="2" t="n">
        <v>83</v>
      </c>
      <c r="F125" s="2" t="n">
        <v>1920.57</v>
      </c>
      <c r="G125" s="2" t="n">
        <v>13</v>
      </c>
      <c r="H125" s="2" t="s">
        <v>13</v>
      </c>
      <c r="I125" s="2" t="s">
        <v>332</v>
      </c>
    </row>
    <row r="126" customFormat="false" ht="15" hidden="false" customHeight="false" outlineLevel="0" collapsed="false">
      <c r="A126" s="2" t="s">
        <v>333</v>
      </c>
      <c r="B126" s="2" t="s">
        <v>329</v>
      </c>
      <c r="C126" s="2" t="s">
        <v>99</v>
      </c>
      <c r="D126" s="2" t="s">
        <v>200</v>
      </c>
      <c r="E126" s="2" t="n">
        <v>157</v>
      </c>
      <c r="F126" s="2" t="n">
        <v>3960.62</v>
      </c>
      <c r="G126" s="2" t="n">
        <v>19</v>
      </c>
      <c r="H126" s="2" t="s">
        <v>13</v>
      </c>
      <c r="I126" s="2" t="s">
        <v>334</v>
      </c>
    </row>
    <row r="127" customFormat="false" ht="15" hidden="false" customHeight="false" outlineLevel="0" collapsed="false">
      <c r="A127" s="2" t="s">
        <v>335</v>
      </c>
      <c r="B127" s="2" t="s">
        <v>138</v>
      </c>
      <c r="C127" s="2" t="s">
        <v>11</v>
      </c>
      <c r="D127" s="2" t="s">
        <v>12</v>
      </c>
      <c r="E127" s="2" t="n">
        <v>265</v>
      </c>
      <c r="F127" s="2" t="n">
        <v>589.21</v>
      </c>
      <c r="G127" s="2" t="n">
        <v>12</v>
      </c>
      <c r="H127" s="2" t="s">
        <v>24</v>
      </c>
      <c r="I127" s="2" t="s">
        <v>336</v>
      </c>
    </row>
    <row r="128" customFormat="false" ht="15" hidden="false" customHeight="false" outlineLevel="0" collapsed="false">
      <c r="A128" s="2" t="s">
        <v>337</v>
      </c>
      <c r="B128" s="2" t="s">
        <v>202</v>
      </c>
      <c r="C128" s="2" t="s">
        <v>56</v>
      </c>
      <c r="D128" s="2" t="s">
        <v>200</v>
      </c>
      <c r="E128" s="2" t="n">
        <v>194</v>
      </c>
      <c r="F128" s="2" t="n">
        <v>1780.83</v>
      </c>
      <c r="G128" s="2" t="n">
        <v>27</v>
      </c>
      <c r="H128" s="2" t="s">
        <v>40</v>
      </c>
      <c r="I128" s="2" t="s">
        <v>286</v>
      </c>
    </row>
    <row r="129" customFormat="false" ht="15" hidden="false" customHeight="false" outlineLevel="0" collapsed="false">
      <c r="A129" s="2" t="s">
        <v>54</v>
      </c>
      <c r="B129" s="2" t="s">
        <v>55</v>
      </c>
      <c r="C129" s="2" t="s">
        <v>56</v>
      </c>
      <c r="D129" s="2" t="s">
        <v>57</v>
      </c>
      <c r="E129" s="2" t="n">
        <v>165</v>
      </c>
      <c r="F129" s="2" t="n">
        <v>542.27</v>
      </c>
      <c r="G129" s="2" t="n">
        <v>38</v>
      </c>
      <c r="H129" s="2" t="s">
        <v>24</v>
      </c>
      <c r="I129" s="2" t="s">
        <v>58</v>
      </c>
    </row>
    <row r="130" customFormat="false" ht="15" hidden="false" customHeight="false" outlineLevel="0" collapsed="false">
      <c r="A130" s="2" t="s">
        <v>338</v>
      </c>
      <c r="B130" s="2" t="s">
        <v>141</v>
      </c>
      <c r="C130" s="2" t="s">
        <v>259</v>
      </c>
      <c r="D130" s="2" t="s">
        <v>43</v>
      </c>
      <c r="E130" s="2" t="n">
        <v>86</v>
      </c>
      <c r="F130" s="2" t="n">
        <v>613.98</v>
      </c>
      <c r="G130" s="2" t="n">
        <v>29</v>
      </c>
      <c r="H130" s="2" t="s">
        <v>40</v>
      </c>
      <c r="I130" s="2" t="s">
        <v>175</v>
      </c>
    </row>
    <row r="131" customFormat="false" ht="15" hidden="false" customHeight="false" outlineLevel="0" collapsed="false">
      <c r="A131" s="2" t="s">
        <v>339</v>
      </c>
      <c r="B131" s="2" t="s">
        <v>144</v>
      </c>
      <c r="C131" s="2" t="s">
        <v>123</v>
      </c>
      <c r="D131" s="2" t="s">
        <v>43</v>
      </c>
      <c r="E131" s="2" t="n">
        <v>152</v>
      </c>
      <c r="F131" s="2" t="n">
        <v>674</v>
      </c>
      <c r="G131" s="2" t="n">
        <v>24</v>
      </c>
      <c r="H131" s="2" t="s">
        <v>24</v>
      </c>
      <c r="I131" s="2" t="s">
        <v>340</v>
      </c>
    </row>
    <row r="132" customFormat="false" ht="15" hidden="false" customHeight="false" outlineLevel="0" collapsed="false">
      <c r="A132" s="2" t="s">
        <v>341</v>
      </c>
      <c r="B132" s="2" t="s">
        <v>342</v>
      </c>
      <c r="C132" s="2" t="s">
        <v>123</v>
      </c>
      <c r="D132" s="2" t="s">
        <v>68</v>
      </c>
      <c r="E132" s="2" t="n">
        <v>257</v>
      </c>
      <c r="F132" s="2" t="n">
        <v>977.46</v>
      </c>
      <c r="G132" s="2" t="n">
        <v>27</v>
      </c>
      <c r="H132" s="2" t="s">
        <v>44</v>
      </c>
      <c r="I132" s="2" t="s">
        <v>304</v>
      </c>
    </row>
    <row r="133" customFormat="false" ht="15" hidden="false" customHeight="false" outlineLevel="0" collapsed="false">
      <c r="A133" s="2" t="s">
        <v>294</v>
      </c>
      <c r="B133" s="2" t="s">
        <v>279</v>
      </c>
      <c r="C133" s="2" t="s">
        <v>104</v>
      </c>
      <c r="D133" s="2" t="s">
        <v>117</v>
      </c>
      <c r="E133" s="2" t="n">
        <v>248</v>
      </c>
      <c r="F133" s="2" t="n">
        <v>3085.53</v>
      </c>
      <c r="G133" s="2" t="n">
        <v>24</v>
      </c>
      <c r="H133" s="2" t="s">
        <v>18</v>
      </c>
      <c r="I133" s="2" t="s">
        <v>295</v>
      </c>
    </row>
    <row r="134" customFormat="false" ht="15" hidden="false" customHeight="false" outlineLevel="0" collapsed="false">
      <c r="A134" s="2" t="s">
        <v>343</v>
      </c>
      <c r="B134" s="2" t="s">
        <v>202</v>
      </c>
      <c r="C134" s="2" t="s">
        <v>245</v>
      </c>
      <c r="D134" s="2" t="s">
        <v>23</v>
      </c>
      <c r="E134" s="2" t="n">
        <v>239</v>
      </c>
      <c r="F134" s="2" t="n">
        <v>2273.82</v>
      </c>
      <c r="G134" s="2" t="n">
        <v>13</v>
      </c>
      <c r="H134" s="2" t="s">
        <v>81</v>
      </c>
      <c r="I134" s="2" t="s">
        <v>344</v>
      </c>
    </row>
    <row r="135" customFormat="false" ht="15" hidden="false" customHeight="false" outlineLevel="0" collapsed="false">
      <c r="A135" s="2" t="s">
        <v>345</v>
      </c>
      <c r="B135" s="2" t="s">
        <v>236</v>
      </c>
      <c r="C135" s="2" t="s">
        <v>245</v>
      </c>
      <c r="D135" s="2" t="s">
        <v>117</v>
      </c>
      <c r="E135" s="2" t="n">
        <v>24</v>
      </c>
      <c r="F135" s="2" t="n">
        <v>928.61</v>
      </c>
      <c r="G135" s="2" t="n">
        <v>36</v>
      </c>
      <c r="H135" s="2" t="s">
        <v>18</v>
      </c>
      <c r="I135" s="2" t="s">
        <v>346</v>
      </c>
    </row>
    <row r="136" customFormat="false" ht="15" hidden="false" customHeight="false" outlineLevel="0" collapsed="false">
      <c r="A136" s="2" t="s">
        <v>347</v>
      </c>
      <c r="B136" s="2" t="s">
        <v>207</v>
      </c>
      <c r="C136" s="2" t="s">
        <v>245</v>
      </c>
      <c r="D136" s="2" t="s">
        <v>43</v>
      </c>
      <c r="E136" s="2" t="n">
        <v>188</v>
      </c>
      <c r="F136" s="2" t="n">
        <v>1035.64</v>
      </c>
      <c r="G136" s="2" t="n">
        <v>13</v>
      </c>
      <c r="H136" s="2" t="s">
        <v>24</v>
      </c>
      <c r="I136" s="2" t="s">
        <v>348</v>
      </c>
    </row>
    <row r="137" customFormat="false" ht="15" hidden="false" customHeight="false" outlineLevel="0" collapsed="false">
      <c r="A137" s="2" t="s">
        <v>349</v>
      </c>
      <c r="B137" s="2" t="s">
        <v>98</v>
      </c>
      <c r="C137" s="2" t="s">
        <v>11</v>
      </c>
      <c r="D137" s="2" t="s">
        <v>68</v>
      </c>
      <c r="E137" s="2" t="n">
        <v>97</v>
      </c>
      <c r="F137" s="2" t="n">
        <v>1771.75</v>
      </c>
      <c r="G137" s="2" t="n">
        <v>36</v>
      </c>
      <c r="H137" s="2" t="s">
        <v>18</v>
      </c>
      <c r="I137" s="2" t="s">
        <v>350</v>
      </c>
    </row>
    <row r="138" customFormat="false" ht="15" hidden="false" customHeight="false" outlineLevel="0" collapsed="false">
      <c r="A138" s="2" t="s">
        <v>351</v>
      </c>
      <c r="B138" s="2" t="s">
        <v>16</v>
      </c>
      <c r="C138" s="2" t="s">
        <v>87</v>
      </c>
      <c r="D138" s="2" t="s">
        <v>88</v>
      </c>
      <c r="E138" s="2" t="n">
        <v>277</v>
      </c>
      <c r="F138" s="2"/>
      <c r="G138" s="2" t="n">
        <v>36</v>
      </c>
      <c r="H138" s="2"/>
      <c r="I138" s="2" t="s">
        <v>352</v>
      </c>
    </row>
    <row r="139" customFormat="false" ht="15" hidden="false" customHeight="false" outlineLevel="0" collapsed="false">
      <c r="A139" s="2" t="s">
        <v>46</v>
      </c>
      <c r="B139" s="2" t="s">
        <v>47</v>
      </c>
      <c r="C139" s="2" t="s">
        <v>11</v>
      </c>
      <c r="D139" s="2" t="s">
        <v>48</v>
      </c>
      <c r="E139" s="2" t="n">
        <v>99</v>
      </c>
      <c r="F139" s="2"/>
      <c r="G139" s="2" t="n">
        <v>37</v>
      </c>
      <c r="H139" s="2" t="s">
        <v>18</v>
      </c>
      <c r="I139" s="2" t="s">
        <v>49</v>
      </c>
    </row>
    <row r="140" customFormat="false" ht="15" hidden="false" customHeight="false" outlineLevel="0" collapsed="false">
      <c r="A140" s="2" t="s">
        <v>106</v>
      </c>
      <c r="B140" s="2" t="s">
        <v>21</v>
      </c>
      <c r="C140" s="2" t="s">
        <v>22</v>
      </c>
      <c r="D140" s="2" t="s">
        <v>93</v>
      </c>
      <c r="E140" s="2" t="n">
        <v>237</v>
      </c>
      <c r="F140" s="2" t="n">
        <v>887.82</v>
      </c>
      <c r="G140" s="2" t="n">
        <v>30</v>
      </c>
      <c r="H140" s="2" t="s">
        <v>13</v>
      </c>
      <c r="I140" s="2" t="s">
        <v>107</v>
      </c>
    </row>
    <row r="141" customFormat="false" ht="15" hidden="false" customHeight="false" outlineLevel="0" collapsed="false">
      <c r="A141" s="2" t="s">
        <v>353</v>
      </c>
      <c r="B141" s="2" t="s">
        <v>125</v>
      </c>
      <c r="C141" s="2" t="s">
        <v>169</v>
      </c>
      <c r="D141" s="2" t="s">
        <v>43</v>
      </c>
      <c r="E141" s="2" t="n">
        <v>221</v>
      </c>
      <c r="F141" s="2"/>
      <c r="G141" s="2" t="n">
        <v>37</v>
      </c>
      <c r="H141" s="2" t="s">
        <v>81</v>
      </c>
      <c r="I141" s="2" t="s">
        <v>354</v>
      </c>
    </row>
    <row r="142" customFormat="false" ht="15" hidden="false" customHeight="false" outlineLevel="0" collapsed="false">
      <c r="A142" s="2" t="s">
        <v>355</v>
      </c>
      <c r="B142" s="2" t="s">
        <v>252</v>
      </c>
      <c r="C142" s="2" t="s">
        <v>52</v>
      </c>
      <c r="D142" s="2" t="s">
        <v>68</v>
      </c>
      <c r="E142" s="2" t="n">
        <v>45</v>
      </c>
      <c r="F142" s="2" t="n">
        <v>2558.48</v>
      </c>
      <c r="G142" s="2" t="n">
        <v>27</v>
      </c>
      <c r="H142" s="2" t="s">
        <v>24</v>
      </c>
      <c r="I142" s="2" t="s">
        <v>232</v>
      </c>
    </row>
    <row r="143" customFormat="false" ht="15" hidden="false" customHeight="false" outlineLevel="0" collapsed="false">
      <c r="A143" s="2" t="s">
        <v>356</v>
      </c>
      <c r="B143" s="2" t="s">
        <v>342</v>
      </c>
      <c r="C143" s="2" t="s">
        <v>123</v>
      </c>
      <c r="D143" s="2" t="s">
        <v>39</v>
      </c>
      <c r="E143" s="2" t="n">
        <v>208</v>
      </c>
      <c r="F143" s="2" t="n">
        <v>3228.12</v>
      </c>
      <c r="G143" s="2" t="n">
        <v>21</v>
      </c>
      <c r="H143" s="2" t="s">
        <v>81</v>
      </c>
      <c r="I143" s="2" t="s">
        <v>357</v>
      </c>
    </row>
    <row r="144" customFormat="false" ht="15" hidden="false" customHeight="false" outlineLevel="0" collapsed="false">
      <c r="A144" s="2" t="s">
        <v>358</v>
      </c>
      <c r="B144" s="2" t="s">
        <v>222</v>
      </c>
      <c r="C144" s="2" t="s">
        <v>104</v>
      </c>
      <c r="D144" s="2" t="s">
        <v>12</v>
      </c>
      <c r="E144" s="2" t="n">
        <v>30</v>
      </c>
      <c r="F144" s="2"/>
      <c r="G144" s="2" t="n">
        <v>24</v>
      </c>
      <c r="H144" s="2" t="s">
        <v>24</v>
      </c>
      <c r="I144" s="2" t="s">
        <v>359</v>
      </c>
    </row>
    <row r="145" customFormat="false" ht="15" hidden="false" customHeight="false" outlineLevel="0" collapsed="false">
      <c r="A145" s="2" t="s">
        <v>360</v>
      </c>
      <c r="B145" s="2" t="s">
        <v>95</v>
      </c>
      <c r="C145" s="2" t="s">
        <v>38</v>
      </c>
      <c r="D145" s="2" t="s">
        <v>34</v>
      </c>
      <c r="E145" s="2" t="n">
        <v>248</v>
      </c>
      <c r="F145" s="2" t="n">
        <v>702.25</v>
      </c>
      <c r="G145" s="2" t="n">
        <v>26</v>
      </c>
      <c r="H145" s="2" t="s">
        <v>13</v>
      </c>
      <c r="I145" s="2" t="s">
        <v>293</v>
      </c>
    </row>
    <row r="146" customFormat="false" ht="15" hidden="false" customHeight="false" outlineLevel="0" collapsed="false">
      <c r="A146" s="2" t="s">
        <v>361</v>
      </c>
      <c r="B146" s="2" t="s">
        <v>80</v>
      </c>
      <c r="C146" s="2" t="s">
        <v>17</v>
      </c>
      <c r="D146" s="2" t="s">
        <v>43</v>
      </c>
      <c r="E146" s="2" t="n">
        <v>271</v>
      </c>
      <c r="F146" s="2" t="n">
        <v>2591.2</v>
      </c>
      <c r="G146" s="2" t="n">
        <v>10</v>
      </c>
      <c r="H146" s="2" t="s">
        <v>81</v>
      </c>
      <c r="I146" s="2" t="s">
        <v>362</v>
      </c>
    </row>
    <row r="147" customFormat="false" ht="15" hidden="false" customHeight="false" outlineLevel="0" collapsed="false">
      <c r="A147" s="2" t="s">
        <v>363</v>
      </c>
      <c r="B147" s="2" t="s">
        <v>91</v>
      </c>
      <c r="C147" s="2" t="s">
        <v>38</v>
      </c>
      <c r="D147" s="2" t="s">
        <v>88</v>
      </c>
      <c r="E147" s="2" t="n">
        <v>264</v>
      </c>
      <c r="F147" s="2" t="n">
        <v>653.72</v>
      </c>
      <c r="G147" s="2" t="n">
        <v>34</v>
      </c>
      <c r="H147" s="2" t="s">
        <v>44</v>
      </c>
      <c r="I147" s="2" t="s">
        <v>364</v>
      </c>
    </row>
    <row r="148" customFormat="false" ht="15" hidden="false" customHeight="false" outlineLevel="0" collapsed="false">
      <c r="A148" s="2" t="s">
        <v>365</v>
      </c>
      <c r="B148" s="2" t="s">
        <v>135</v>
      </c>
      <c r="C148" s="2" t="s">
        <v>28</v>
      </c>
      <c r="D148" s="2" t="s">
        <v>117</v>
      </c>
      <c r="E148" s="2" t="n">
        <v>208</v>
      </c>
      <c r="F148" s="2" t="n">
        <v>1150.82</v>
      </c>
      <c r="G148" s="2" t="n">
        <v>40</v>
      </c>
      <c r="H148" s="2" t="s">
        <v>81</v>
      </c>
      <c r="I148" s="2" t="s">
        <v>366</v>
      </c>
    </row>
    <row r="149" customFormat="false" ht="15" hidden="false" customHeight="false" outlineLevel="0" collapsed="false">
      <c r="A149" s="2" t="s">
        <v>367</v>
      </c>
      <c r="B149" s="2" t="s">
        <v>80</v>
      </c>
      <c r="C149" s="2" t="s">
        <v>87</v>
      </c>
      <c r="D149" s="2" t="s">
        <v>68</v>
      </c>
      <c r="E149" s="2" t="n">
        <v>46</v>
      </c>
      <c r="F149" s="2" t="n">
        <v>635.92</v>
      </c>
      <c r="G149" s="2" t="n">
        <v>14</v>
      </c>
      <c r="H149" s="2" t="s">
        <v>24</v>
      </c>
      <c r="I149" s="2" t="s">
        <v>368</v>
      </c>
    </row>
    <row r="150" customFormat="false" ht="15" hidden="false" customHeight="false" outlineLevel="0" collapsed="false">
      <c r="A150" s="2" t="s">
        <v>369</v>
      </c>
      <c r="B150" s="2" t="s">
        <v>285</v>
      </c>
      <c r="C150" s="2" t="s">
        <v>123</v>
      </c>
      <c r="D150" s="2" t="s">
        <v>34</v>
      </c>
      <c r="E150" s="2" t="n">
        <v>139</v>
      </c>
      <c r="F150" s="2" t="n">
        <v>3298.55</v>
      </c>
      <c r="G150" s="2" t="n">
        <v>40</v>
      </c>
      <c r="H150" s="2" t="s">
        <v>24</v>
      </c>
      <c r="I150" s="2" t="s">
        <v>370</v>
      </c>
    </row>
    <row r="151" customFormat="false" ht="15" hidden="false" customHeight="false" outlineLevel="0" collapsed="false">
      <c r="A151" s="2" t="s">
        <v>371</v>
      </c>
      <c r="B151" s="2" t="s">
        <v>312</v>
      </c>
      <c r="C151" s="2" t="s">
        <v>11</v>
      </c>
      <c r="D151" s="2" t="s">
        <v>161</v>
      </c>
      <c r="E151" s="2" t="n">
        <v>237</v>
      </c>
      <c r="F151" s="2" t="n">
        <v>972.02</v>
      </c>
      <c r="G151" s="2" t="n">
        <v>18</v>
      </c>
      <c r="H151" s="2" t="s">
        <v>40</v>
      </c>
      <c r="I151" s="2" t="s">
        <v>372</v>
      </c>
    </row>
    <row r="152" customFormat="false" ht="15" hidden="false" customHeight="false" outlineLevel="0" collapsed="false">
      <c r="A152" s="2" t="s">
        <v>373</v>
      </c>
      <c r="B152" s="2" t="s">
        <v>160</v>
      </c>
      <c r="C152" s="2" t="s">
        <v>129</v>
      </c>
      <c r="D152" s="2" t="s">
        <v>43</v>
      </c>
      <c r="E152" s="2" t="n">
        <v>140</v>
      </c>
      <c r="F152" s="2" t="n">
        <v>2406.46</v>
      </c>
      <c r="G152" s="2" t="n">
        <v>21</v>
      </c>
      <c r="H152" s="2" t="s">
        <v>40</v>
      </c>
      <c r="I152" s="2" t="s">
        <v>374</v>
      </c>
    </row>
    <row r="153" customFormat="false" ht="15" hidden="false" customHeight="false" outlineLevel="0" collapsed="false">
      <c r="A153" s="2" t="s">
        <v>375</v>
      </c>
      <c r="B153" s="2" t="s">
        <v>67</v>
      </c>
      <c r="C153" s="2" t="s">
        <v>300</v>
      </c>
      <c r="D153" s="2" t="s">
        <v>43</v>
      </c>
      <c r="E153" s="2" t="n">
        <v>178</v>
      </c>
      <c r="F153" s="2" t="n">
        <v>766.55</v>
      </c>
      <c r="G153" s="2" t="n">
        <v>14</v>
      </c>
      <c r="H153" s="2" t="s">
        <v>13</v>
      </c>
      <c r="I153" s="2" t="s">
        <v>376</v>
      </c>
    </row>
    <row r="154" customFormat="false" ht="15" hidden="false" customHeight="false" outlineLevel="0" collapsed="false">
      <c r="A154" s="2" t="s">
        <v>377</v>
      </c>
      <c r="B154" s="2" t="s">
        <v>378</v>
      </c>
      <c r="C154" s="2" t="s">
        <v>129</v>
      </c>
      <c r="D154" s="2" t="s">
        <v>68</v>
      </c>
      <c r="E154" s="2" t="n">
        <v>255</v>
      </c>
      <c r="F154" s="2" t="n">
        <v>3637.23</v>
      </c>
      <c r="G154" s="2" t="n">
        <v>11</v>
      </c>
      <c r="H154" s="2" t="s">
        <v>81</v>
      </c>
      <c r="I154" s="2" t="s">
        <v>379</v>
      </c>
    </row>
    <row r="155" customFormat="false" ht="15" hidden="false" customHeight="false" outlineLevel="0" collapsed="false">
      <c r="A155" s="2" t="s">
        <v>380</v>
      </c>
      <c r="B155" s="2" t="s">
        <v>74</v>
      </c>
      <c r="C155" s="2" t="s">
        <v>169</v>
      </c>
      <c r="D155" s="2" t="s">
        <v>43</v>
      </c>
      <c r="E155" s="2" t="n">
        <v>221</v>
      </c>
      <c r="F155" s="2" t="n">
        <v>664.14</v>
      </c>
      <c r="G155" s="2" t="n">
        <v>40</v>
      </c>
      <c r="H155" s="2" t="s">
        <v>24</v>
      </c>
      <c r="I155" s="2" t="s">
        <v>41</v>
      </c>
    </row>
    <row r="156" customFormat="false" ht="15" hidden="false" customHeight="false" outlineLevel="0" collapsed="false">
      <c r="A156" s="2" t="s">
        <v>381</v>
      </c>
      <c r="B156" s="2" t="s">
        <v>60</v>
      </c>
      <c r="C156" s="2" t="s">
        <v>154</v>
      </c>
      <c r="D156" s="2" t="s">
        <v>34</v>
      </c>
      <c r="E156" s="2" t="n">
        <v>239</v>
      </c>
      <c r="F156" s="2" t="n">
        <v>3354.92</v>
      </c>
      <c r="G156" s="2" t="n">
        <v>25</v>
      </c>
      <c r="H156" s="2"/>
      <c r="I156" s="2" t="s">
        <v>344</v>
      </c>
    </row>
    <row r="157" customFormat="false" ht="15" hidden="false" customHeight="false" outlineLevel="0" collapsed="false">
      <c r="A157" s="2" t="s">
        <v>382</v>
      </c>
      <c r="B157" s="2" t="s">
        <v>383</v>
      </c>
      <c r="C157" s="2" t="s">
        <v>11</v>
      </c>
      <c r="D157" s="2" t="s">
        <v>29</v>
      </c>
      <c r="E157" s="2" t="n">
        <v>211</v>
      </c>
      <c r="F157" s="2" t="n">
        <v>3308.46</v>
      </c>
      <c r="G157" s="2" t="n">
        <v>10</v>
      </c>
      <c r="H157" s="2" t="s">
        <v>40</v>
      </c>
      <c r="I157" s="2" t="s">
        <v>89</v>
      </c>
    </row>
    <row r="158" customFormat="false" ht="15" hidden="false" customHeight="false" outlineLevel="0" collapsed="false">
      <c r="A158" s="2" t="s">
        <v>384</v>
      </c>
      <c r="B158" s="2" t="s">
        <v>153</v>
      </c>
      <c r="C158" s="2" t="s">
        <v>61</v>
      </c>
      <c r="D158" s="2" t="s">
        <v>23</v>
      </c>
      <c r="E158" s="2" t="n">
        <v>293</v>
      </c>
      <c r="F158" s="2" t="n">
        <v>1823.18</v>
      </c>
      <c r="G158" s="2" t="n">
        <v>39</v>
      </c>
      <c r="H158" s="2"/>
      <c r="I158" s="2" t="s">
        <v>274</v>
      </c>
    </row>
    <row r="159" customFormat="false" ht="15" hidden="false" customHeight="false" outlineLevel="0" collapsed="false">
      <c r="A159" s="2" t="s">
        <v>385</v>
      </c>
      <c r="B159" s="2" t="s">
        <v>252</v>
      </c>
      <c r="C159" s="2" t="s">
        <v>28</v>
      </c>
      <c r="D159" s="2" t="s">
        <v>57</v>
      </c>
      <c r="E159" s="2" t="n">
        <v>287</v>
      </c>
      <c r="F159" s="2" t="n">
        <v>3542.77</v>
      </c>
      <c r="G159" s="2" t="n">
        <v>12</v>
      </c>
      <c r="H159" s="2" t="s">
        <v>24</v>
      </c>
      <c r="I159" s="2" t="s">
        <v>386</v>
      </c>
    </row>
    <row r="160" customFormat="false" ht="15" hidden="false" customHeight="false" outlineLevel="0" collapsed="false">
      <c r="A160" s="2" t="s">
        <v>387</v>
      </c>
      <c r="B160" s="2" t="s">
        <v>303</v>
      </c>
      <c r="C160" s="2" t="s">
        <v>61</v>
      </c>
      <c r="D160" s="2" t="s">
        <v>43</v>
      </c>
      <c r="E160" s="2" t="n">
        <v>163</v>
      </c>
      <c r="F160" s="2" t="n">
        <v>2809</v>
      </c>
      <c r="G160" s="2" t="n">
        <v>22</v>
      </c>
      <c r="H160" s="2" t="s">
        <v>44</v>
      </c>
      <c r="I160" s="2" t="s">
        <v>271</v>
      </c>
    </row>
    <row r="161" customFormat="false" ht="15" hidden="false" customHeight="false" outlineLevel="0" collapsed="false">
      <c r="A161" s="2" t="s">
        <v>388</v>
      </c>
      <c r="B161" s="2" t="s">
        <v>383</v>
      </c>
      <c r="C161" s="2" t="s">
        <v>11</v>
      </c>
      <c r="D161" s="2" t="s">
        <v>39</v>
      </c>
      <c r="E161" s="2" t="n">
        <v>173</v>
      </c>
      <c r="F161" s="2" t="n">
        <v>2007.1</v>
      </c>
      <c r="G161" s="2" t="n">
        <v>31</v>
      </c>
      <c r="H161" s="2" t="s">
        <v>18</v>
      </c>
      <c r="I161" s="2" t="s">
        <v>389</v>
      </c>
    </row>
    <row r="162" customFormat="false" ht="15" hidden="false" customHeight="false" outlineLevel="0" collapsed="false">
      <c r="A162" s="2" t="s">
        <v>343</v>
      </c>
      <c r="B162" s="2" t="s">
        <v>202</v>
      </c>
      <c r="C162" s="2" t="s">
        <v>245</v>
      </c>
      <c r="D162" s="2" t="s">
        <v>23</v>
      </c>
      <c r="E162" s="2" t="n">
        <v>239</v>
      </c>
      <c r="F162" s="2" t="n">
        <v>2273.82</v>
      </c>
      <c r="G162" s="2" t="n">
        <v>13</v>
      </c>
      <c r="H162" s="2" t="s">
        <v>81</v>
      </c>
      <c r="I162" s="2" t="s">
        <v>344</v>
      </c>
    </row>
    <row r="163" customFormat="false" ht="15" hidden="false" customHeight="false" outlineLevel="0" collapsed="false">
      <c r="A163" s="2" t="s">
        <v>264</v>
      </c>
      <c r="B163" s="2" t="s">
        <v>95</v>
      </c>
      <c r="C163" s="2" t="s">
        <v>169</v>
      </c>
      <c r="D163" s="2" t="s">
        <v>57</v>
      </c>
      <c r="E163" s="2" t="n">
        <v>162</v>
      </c>
      <c r="F163" s="2" t="n">
        <v>1001.44</v>
      </c>
      <c r="G163" s="2" t="n">
        <v>28</v>
      </c>
      <c r="H163" s="2" t="s">
        <v>81</v>
      </c>
      <c r="I163" s="2" t="s">
        <v>265</v>
      </c>
    </row>
    <row r="164" customFormat="false" ht="15" hidden="false" customHeight="false" outlineLevel="0" collapsed="false">
      <c r="A164" s="2" t="s">
        <v>390</v>
      </c>
      <c r="B164" s="2" t="s">
        <v>179</v>
      </c>
      <c r="C164" s="2" t="s">
        <v>123</v>
      </c>
      <c r="D164" s="2" t="s">
        <v>203</v>
      </c>
      <c r="E164" s="2" t="n">
        <v>72</v>
      </c>
      <c r="F164" s="2" t="n">
        <v>1215.69</v>
      </c>
      <c r="G164" s="2" t="n">
        <v>33</v>
      </c>
      <c r="H164" s="2" t="s">
        <v>18</v>
      </c>
      <c r="I164" s="2" t="s">
        <v>391</v>
      </c>
    </row>
    <row r="165" customFormat="false" ht="15" hidden="false" customHeight="false" outlineLevel="0" collapsed="false">
      <c r="A165" s="2" t="s">
        <v>392</v>
      </c>
      <c r="B165" s="2" t="s">
        <v>166</v>
      </c>
      <c r="C165" s="2" t="s">
        <v>52</v>
      </c>
      <c r="D165" s="2" t="s">
        <v>34</v>
      </c>
      <c r="E165" s="2" t="n">
        <v>138</v>
      </c>
      <c r="F165" s="2" t="n">
        <v>897.55</v>
      </c>
      <c r="G165" s="2" t="n">
        <v>29</v>
      </c>
      <c r="H165" s="2"/>
      <c r="I165" s="2" t="s">
        <v>393</v>
      </c>
    </row>
    <row r="166" customFormat="false" ht="15" hidden="false" customHeight="false" outlineLevel="0" collapsed="false">
      <c r="A166" s="2" t="s">
        <v>394</v>
      </c>
      <c r="B166" s="2" t="s">
        <v>64</v>
      </c>
      <c r="C166" s="2" t="s">
        <v>104</v>
      </c>
      <c r="D166" s="2" t="s">
        <v>68</v>
      </c>
      <c r="E166" s="2" t="n">
        <v>143</v>
      </c>
      <c r="F166" s="2" t="n">
        <v>3682.49</v>
      </c>
      <c r="G166" s="2" t="n">
        <v>34</v>
      </c>
      <c r="H166" s="2" t="s">
        <v>18</v>
      </c>
      <c r="I166" s="2" t="s">
        <v>395</v>
      </c>
    </row>
    <row r="167" customFormat="false" ht="15" hidden="false" customHeight="false" outlineLevel="0" collapsed="false">
      <c r="A167" s="2" t="s">
        <v>396</v>
      </c>
      <c r="B167" s="2" t="s">
        <v>267</v>
      </c>
      <c r="C167" s="2" t="s">
        <v>268</v>
      </c>
      <c r="D167" s="2" t="s">
        <v>12</v>
      </c>
      <c r="E167" s="2" t="n">
        <v>149</v>
      </c>
      <c r="F167" s="2"/>
      <c r="G167" s="2" t="n">
        <v>19</v>
      </c>
      <c r="H167" s="2" t="s">
        <v>44</v>
      </c>
      <c r="I167" s="2" t="s">
        <v>62</v>
      </c>
    </row>
    <row r="168" customFormat="false" ht="15" hidden="false" customHeight="false" outlineLevel="0" collapsed="false">
      <c r="A168" s="2" t="s">
        <v>397</v>
      </c>
      <c r="B168" s="2" t="s">
        <v>299</v>
      </c>
      <c r="C168" s="2" t="s">
        <v>87</v>
      </c>
      <c r="D168" s="2" t="s">
        <v>34</v>
      </c>
      <c r="E168" s="2" t="n">
        <v>240</v>
      </c>
      <c r="F168" s="2" t="n">
        <v>3683.09</v>
      </c>
      <c r="G168" s="2" t="n">
        <v>12</v>
      </c>
      <c r="H168" s="2" t="s">
        <v>18</v>
      </c>
      <c r="I168" s="2" t="s">
        <v>398</v>
      </c>
    </row>
    <row r="169" customFormat="false" ht="15" hidden="false" customHeight="false" outlineLevel="0" collapsed="false">
      <c r="A169" s="2" t="s">
        <v>399</v>
      </c>
      <c r="B169" s="2" t="s">
        <v>400</v>
      </c>
      <c r="C169" s="2" t="s">
        <v>154</v>
      </c>
      <c r="D169" s="2" t="s">
        <v>29</v>
      </c>
      <c r="E169" s="2" t="n">
        <v>274</v>
      </c>
      <c r="F169" s="2" t="n">
        <v>1380.22</v>
      </c>
      <c r="G169" s="2" t="n">
        <v>34</v>
      </c>
      <c r="H169" s="2" t="s">
        <v>13</v>
      </c>
      <c r="I169" s="2" t="s">
        <v>401</v>
      </c>
    </row>
    <row r="170" customFormat="false" ht="15" hidden="false" customHeight="false" outlineLevel="0" collapsed="false">
      <c r="A170" s="2" t="s">
        <v>402</v>
      </c>
      <c r="B170" s="2" t="s">
        <v>80</v>
      </c>
      <c r="C170" s="2" t="s">
        <v>300</v>
      </c>
      <c r="D170" s="2" t="s">
        <v>23</v>
      </c>
      <c r="E170" s="2" t="n">
        <v>133</v>
      </c>
      <c r="F170" s="2" t="n">
        <v>484.21</v>
      </c>
      <c r="G170" s="2" t="n">
        <v>37</v>
      </c>
      <c r="H170" s="2"/>
      <c r="I170" s="2" t="s">
        <v>401</v>
      </c>
    </row>
    <row r="171" customFormat="false" ht="15" hidden="false" customHeight="false" outlineLevel="0" collapsed="false">
      <c r="A171" s="2" t="s">
        <v>403</v>
      </c>
      <c r="B171" s="2" t="s">
        <v>128</v>
      </c>
      <c r="C171" s="2" t="s">
        <v>56</v>
      </c>
      <c r="D171" s="2" t="s">
        <v>68</v>
      </c>
      <c r="E171" s="2" t="n">
        <v>138</v>
      </c>
      <c r="F171" s="2" t="n">
        <v>2878.96</v>
      </c>
      <c r="G171" s="2" t="n">
        <v>17</v>
      </c>
      <c r="H171" s="2" t="s">
        <v>24</v>
      </c>
      <c r="I171" s="2" t="s">
        <v>386</v>
      </c>
    </row>
    <row r="172" customFormat="false" ht="15" hidden="false" customHeight="false" outlineLevel="0" collapsed="false">
      <c r="A172" s="2" t="s">
        <v>404</v>
      </c>
      <c r="B172" s="2" t="s">
        <v>405</v>
      </c>
      <c r="C172" s="2" t="s">
        <v>92</v>
      </c>
      <c r="D172" s="2" t="s">
        <v>34</v>
      </c>
      <c r="E172" s="2" t="n">
        <v>186</v>
      </c>
      <c r="F172" s="2" t="n">
        <v>1104.56</v>
      </c>
      <c r="G172" s="2" t="n">
        <v>39</v>
      </c>
      <c r="H172" s="2" t="s">
        <v>40</v>
      </c>
      <c r="I172" s="2" t="s">
        <v>406</v>
      </c>
    </row>
    <row r="173" customFormat="false" ht="15" hidden="false" customHeight="false" outlineLevel="0" collapsed="false">
      <c r="A173" s="2" t="s">
        <v>407</v>
      </c>
      <c r="B173" s="2" t="s">
        <v>303</v>
      </c>
      <c r="C173" s="2" t="s">
        <v>61</v>
      </c>
      <c r="D173" s="2" t="s">
        <v>88</v>
      </c>
      <c r="E173" s="2" t="n">
        <v>70</v>
      </c>
      <c r="F173" s="2" t="n">
        <v>3324.39</v>
      </c>
      <c r="G173" s="2" t="n">
        <v>33</v>
      </c>
      <c r="H173" s="2"/>
      <c r="I173" s="2" t="s">
        <v>408</v>
      </c>
    </row>
    <row r="174" customFormat="false" ht="15" hidden="false" customHeight="false" outlineLevel="0" collapsed="false">
      <c r="A174" s="2" t="s">
        <v>409</v>
      </c>
      <c r="B174" s="2" t="s">
        <v>138</v>
      </c>
      <c r="C174" s="2" t="s">
        <v>11</v>
      </c>
      <c r="D174" s="2" t="s">
        <v>43</v>
      </c>
      <c r="E174" s="2" t="n">
        <v>255</v>
      </c>
      <c r="F174" s="2" t="n">
        <v>1813.86</v>
      </c>
      <c r="G174" s="2" t="n">
        <v>25</v>
      </c>
      <c r="H174" s="2" t="s">
        <v>24</v>
      </c>
      <c r="I174" s="2" t="s">
        <v>410</v>
      </c>
    </row>
    <row r="175" customFormat="false" ht="15" hidden="false" customHeight="false" outlineLevel="0" collapsed="false">
      <c r="A175" s="2" t="s">
        <v>407</v>
      </c>
      <c r="B175" s="2" t="s">
        <v>303</v>
      </c>
      <c r="C175" s="2" t="s">
        <v>61</v>
      </c>
      <c r="D175" s="2" t="s">
        <v>88</v>
      </c>
      <c r="E175" s="2" t="n">
        <v>70</v>
      </c>
      <c r="F175" s="2" t="n">
        <v>3324.39</v>
      </c>
      <c r="G175" s="2" t="n">
        <v>33</v>
      </c>
      <c r="H175" s="2"/>
      <c r="I175" s="2" t="s">
        <v>408</v>
      </c>
    </row>
    <row r="176" customFormat="false" ht="15" hidden="false" customHeight="false" outlineLevel="0" collapsed="false">
      <c r="A176" s="2" t="s">
        <v>411</v>
      </c>
      <c r="B176" s="2" t="s">
        <v>299</v>
      </c>
      <c r="C176" s="2" t="s">
        <v>300</v>
      </c>
      <c r="D176" s="2" t="s">
        <v>88</v>
      </c>
      <c r="E176" s="2" t="n">
        <v>80</v>
      </c>
      <c r="F176" s="2" t="n">
        <v>628.45</v>
      </c>
      <c r="G176" s="2" t="n">
        <v>16</v>
      </c>
      <c r="H176" s="2" t="s">
        <v>44</v>
      </c>
      <c r="I176" s="2" t="s">
        <v>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414</v>
      </c>
      <c r="L1" s="1" t="s">
        <v>415</v>
      </c>
    </row>
    <row r="2" customFormat="false" ht="15" hidden="false" customHeight="false" outlineLevel="0" collapsed="false">
      <c r="A2" s="2" t="str">
        <f aca="false">Raw_Data!A2</f>
        <v>SKU1070</v>
      </c>
      <c r="B2" s="2" t="str">
        <f aca="false">TRIM(PROPER(Raw_Data!B2))</f>
        <v>Bookshelf 3-Tier</v>
      </c>
      <c r="C2" s="2" t="str">
        <f aca="false">PROPER(TRIM(Raw_Data!C2))</f>
        <v>Furniture</v>
      </c>
      <c r="D2" s="2" t="str">
        <f aca="false">IF(ISNUMBER(SEARCH("north",Raw_Data!D2)),"WH-North",IF(ISNUMBER(SEARCH("south",Raw_Data!D2)),"WH-South",IF(ISNUMBER(SEARCH("east",Raw_Data!D2)),"WH-East",IF(ISNUMBER(SEARCH("west",Raw_Data!D2)),"WH-West","Unknown"))))</f>
        <v>WH-South</v>
      </c>
      <c r="E2" s="2" t="n">
        <f aca="false">IF(Raw_Data!E2&lt;0,0,Raw_Data!E2)</f>
        <v>144</v>
      </c>
      <c r="F2" s="2" t="str">
        <f aca="false">IF(Raw_Data!E2&lt;0,"Yes","No")</f>
        <v>No</v>
      </c>
      <c r="G2" s="2" t="n">
        <f aca="false">IF(Raw_Data!F2="",ROUND(AVERAGEIFS(Raw_Data!$F$2:$F$176,$C$2:$C$176,C2),2),Raw_Data!F2)</f>
        <v>2000.49</v>
      </c>
      <c r="H2" s="2" t="n">
        <f aca="false">Raw_Data!G2</f>
        <v>12</v>
      </c>
      <c r="I2" s="2" t="str">
        <f aca="false">IF(TRIM(Raw_Data!H2)="","Not Assigned",TRIM(Raw_Data!H2))</f>
        <v>Nova Wholesale</v>
      </c>
      <c r="J2" s="3" t="n">
        <f aca="false">DATE(VALUE(MID(SUBSTITUTE(Raw_Data!I2,"/","-"),7,4)),VALUE(MID(SUBSTITUTE(Raw_Data!I2,"/","-"),4,2)),VALUE(LEFT(SUBSTITUTE(Raw_Data!I2,"/","-"),2)))</f>
        <v>45668</v>
      </c>
      <c r="K2" s="2" t="str">
        <f aca="false">IF(COUNTIF(Raw_Data!$A$2:A2,Raw_Data!A2)&gt;1,"Duplicate - Remove","Keep")</f>
        <v>Keep</v>
      </c>
      <c r="L2" s="2" t="str">
        <f aca="false">IF(E2&lt;H2,"Reorder Needed","OK")</f>
        <v>OK</v>
      </c>
    </row>
    <row r="3" customFormat="false" ht="15" hidden="false" customHeight="false" outlineLevel="0" collapsed="false">
      <c r="A3" s="2" t="str">
        <f aca="false">Raw_Data!A3</f>
        <v>SKU1114</v>
      </c>
      <c r="B3" s="2" t="str">
        <f aca="false">TRIM(PROPER(Raw_Data!B3))</f>
        <v>Track Pants</v>
      </c>
      <c r="C3" s="2" t="str">
        <f aca="false">PROPER(TRIM(Raw_Data!C3))</f>
        <v>Apparel</v>
      </c>
      <c r="D3" s="2" t="str">
        <f aca="false">IF(ISNUMBER(SEARCH("north",Raw_Data!D3)),"WH-North",IF(ISNUMBER(SEARCH("south",Raw_Data!D3)),"WH-South",IF(ISNUMBER(SEARCH("east",Raw_Data!D3)),"WH-East",IF(ISNUMBER(SEARCH("west",Raw_Data!D3)),"WH-West","Unknown"))))</f>
        <v>WH-South</v>
      </c>
      <c r="E3" s="2" t="n">
        <f aca="false">IF(Raw_Data!E3&lt;0,0,Raw_Data!E3)</f>
        <v>225</v>
      </c>
      <c r="F3" s="2" t="str">
        <f aca="false">IF(Raw_Data!E3&lt;0,"Yes","No")</f>
        <v>No</v>
      </c>
      <c r="G3" s="2" t="n">
        <f aca="false">IF(Raw_Data!F3="",ROUND(AVERAGEIFS(Raw_Data!$F$2:$F$176,$C$2:$C$176,C3),2),Raw_Data!F3)</f>
        <v>1910.3</v>
      </c>
      <c r="H3" s="2" t="n">
        <f aca="false">Raw_Data!G3</f>
        <v>28</v>
      </c>
      <c r="I3" s="2" t="str">
        <f aca="false">IF(TRIM(Raw_Data!H3)="","Not Assigned",TRIM(Raw_Data!H3))</f>
        <v>Fine Goods Pvt Ltd</v>
      </c>
      <c r="J3" s="3" t="n">
        <f aca="false">DATE(VALUE(MID(SUBSTITUTE(Raw_Data!I3,"/","-"),7,4)),VALUE(MID(SUBSTITUTE(Raw_Data!I3,"/","-"),4,2)),VALUE(LEFT(SUBSTITUTE(Raw_Data!I3,"/","-"),2)))</f>
        <v>45792</v>
      </c>
      <c r="K3" s="2" t="str">
        <f aca="false">IF(COUNTIF(Raw_Data!$A$2:A3,Raw_Data!A3)&gt;1,"Duplicate - Remove","Keep")</f>
        <v>Keep</v>
      </c>
      <c r="L3" s="2" t="str">
        <f aca="false">IF(E3&lt;H3,"Reorder Needed","OK")</f>
        <v>OK</v>
      </c>
    </row>
    <row r="4" customFormat="false" ht="15" hidden="false" customHeight="false" outlineLevel="0" collapsed="false">
      <c r="A4" s="2" t="str">
        <f aca="false">Raw_Data!A4</f>
        <v>SKU1097</v>
      </c>
      <c r="B4" s="2" t="str">
        <f aca="false">TRIM(PROPER(Raw_Data!B4))</f>
        <v>Sneakers Unisex</v>
      </c>
      <c r="C4" s="2" t="str">
        <f aca="false">PROPER(TRIM(Raw_Data!C4))</f>
        <v>Footwear</v>
      </c>
      <c r="D4" s="2" t="str">
        <f aca="false">IF(ISNUMBER(SEARCH("north",Raw_Data!D4)),"WH-North",IF(ISNUMBER(SEARCH("south",Raw_Data!D4)),"WH-South",IF(ISNUMBER(SEARCH("east",Raw_Data!D4)),"WH-East",IF(ISNUMBER(SEARCH("west",Raw_Data!D4)),"WH-West","Unknown"))))</f>
        <v>WH-North</v>
      </c>
      <c r="E4" s="2" t="n">
        <f aca="false">IF(Raw_Data!E4&lt;0,0,Raw_Data!E4)</f>
        <v>55</v>
      </c>
      <c r="F4" s="2" t="str">
        <f aca="false">IF(Raw_Data!E4&lt;0,"Yes","No")</f>
        <v>No</v>
      </c>
      <c r="G4" s="2" t="n">
        <f aca="false">IF(Raw_Data!F4="",ROUND(AVERAGEIFS(Raw_Data!$F$2:$F$176,$C$2:$C$176,C4),2),Raw_Data!F4)</f>
        <v>2481.83</v>
      </c>
      <c r="H4" s="2" t="n">
        <f aca="false">Raw_Data!G4</f>
        <v>40</v>
      </c>
      <c r="I4" s="2" t="str">
        <f aca="false">IF(TRIM(Raw_Data!H4)="","Not Assigned",TRIM(Raw_Data!H4))</f>
        <v>Metro Distributors</v>
      </c>
      <c r="J4" s="3" t="n">
        <f aca="false">DATE(VALUE(MID(SUBSTITUTE(Raw_Data!I4,"/","-"),7,4)),VALUE(MID(SUBSTITUTE(Raw_Data!I4,"/","-"),4,2)),VALUE(LEFT(SUBSTITUTE(Raw_Data!I4,"/","-"),2)))</f>
        <v>45666</v>
      </c>
      <c r="K4" s="2" t="str">
        <f aca="false">IF(COUNTIF(Raw_Data!$A$2:A4,Raw_Data!A4)&gt;1,"Duplicate - Remove","Keep")</f>
        <v>Keep</v>
      </c>
      <c r="L4" s="2" t="str">
        <f aca="false">IF(E4&lt;H4,"Reorder Needed","OK")</f>
        <v>OK</v>
      </c>
    </row>
    <row r="5" customFormat="false" ht="15" hidden="false" customHeight="false" outlineLevel="0" collapsed="false">
      <c r="A5" s="2" t="str">
        <f aca="false">Raw_Data!A5</f>
        <v>SKU1158</v>
      </c>
      <c r="B5" s="2" t="str">
        <f aca="false">TRIM(PROPER(Raw_Data!B5))</f>
        <v>Board Game</v>
      </c>
      <c r="C5" s="2" t="str">
        <f aca="false">PROPER(TRIM(Raw_Data!C5))</f>
        <v>Toys</v>
      </c>
      <c r="D5" s="2" t="str">
        <f aca="false">IF(ISNUMBER(SEARCH("north",Raw_Data!D5)),"WH-North",IF(ISNUMBER(SEARCH("south",Raw_Data!D5)),"WH-South",IF(ISNUMBER(SEARCH("east",Raw_Data!D5)),"WH-East",IF(ISNUMBER(SEARCH("west",Raw_Data!D5)),"WH-West","Unknown"))))</f>
        <v>WH-South</v>
      </c>
      <c r="E5" s="2" t="n">
        <f aca="false">IF(Raw_Data!E5&lt;0,0,Raw_Data!E5)</f>
        <v>140</v>
      </c>
      <c r="F5" s="2" t="str">
        <f aca="false">IF(Raw_Data!E5&lt;0,"Yes","No")</f>
        <v>No</v>
      </c>
      <c r="G5" s="2" t="n">
        <f aca="false">IF(Raw_Data!F5="",ROUND(AVERAGEIFS(Raw_Data!$F$2:$F$176,$C$2:$C$176,C5),2),Raw_Data!F5)</f>
        <v>3079.49</v>
      </c>
      <c r="H5" s="2" t="n">
        <f aca="false">Raw_Data!G5</f>
        <v>23</v>
      </c>
      <c r="I5" s="2" t="str">
        <f aca="false">IF(TRIM(Raw_Data!H5)="","Not Assigned",TRIM(Raw_Data!H5))</f>
        <v>Nova Wholesale</v>
      </c>
      <c r="J5" s="3" t="n">
        <f aca="false">DATE(VALUE(MID(SUBSTITUTE(Raw_Data!I5,"/","-"),7,4)),VALUE(MID(SUBSTITUTE(Raw_Data!I5,"/","-"),4,2)),VALUE(LEFT(SUBSTITUTE(Raw_Data!I5,"/","-"),2)))</f>
        <v>45821</v>
      </c>
      <c r="K5" s="2" t="str">
        <f aca="false">IF(COUNTIF(Raw_Data!$A$2:A5,Raw_Data!A5)&gt;1,"Duplicate - Remove","Keep")</f>
        <v>Keep</v>
      </c>
      <c r="L5" s="2" t="str">
        <f aca="false">IF(E5&lt;H5,"Reorder Needed","OK")</f>
        <v>OK</v>
      </c>
    </row>
    <row r="6" customFormat="false" ht="15" hidden="false" customHeight="false" outlineLevel="0" collapsed="false">
      <c r="A6" s="2" t="str">
        <f aca="false">Raw_Data!A6</f>
        <v>SKU1058</v>
      </c>
      <c r="B6" s="2" t="str">
        <f aca="false">TRIM(PROPER(Raw_Data!B6))</f>
        <v>Iron Box Steam</v>
      </c>
      <c r="C6" s="2" t="str">
        <f aca="false">PROPER(TRIM(Raw_Data!C6))</f>
        <v>Home Appliances</v>
      </c>
      <c r="D6" s="2" t="str">
        <f aca="false">IF(ISNUMBER(SEARCH("north",Raw_Data!D6)),"WH-North",IF(ISNUMBER(SEARCH("south",Raw_Data!D6)),"WH-South",IF(ISNUMBER(SEARCH("east",Raw_Data!D6)),"WH-East",IF(ISNUMBER(SEARCH("west",Raw_Data!D6)),"WH-West","Unknown"))))</f>
        <v>WH-South</v>
      </c>
      <c r="E6" s="2" t="n">
        <f aca="false">IF(Raw_Data!E6&lt;0,0,Raw_Data!E6)</f>
        <v>137</v>
      </c>
      <c r="F6" s="2" t="str">
        <f aca="false">IF(Raw_Data!E6&lt;0,"Yes","No")</f>
        <v>No</v>
      </c>
      <c r="G6" s="2" t="n">
        <f aca="false">IF(Raw_Data!F6="",ROUND(AVERAGEIFS(Raw_Data!$F$2:$F$176,$C$2:$C$176,C6),2),Raw_Data!F6)</f>
        <v>3527.26</v>
      </c>
      <c r="H6" s="2" t="n">
        <f aca="false">Raw_Data!G6</f>
        <v>32</v>
      </c>
      <c r="I6" s="2" t="str">
        <f aca="false">IF(TRIM(Raw_Data!H6)="","Not Assigned",TRIM(Raw_Data!H6))</f>
        <v>Metro Distributors</v>
      </c>
      <c r="J6" s="3" t="n">
        <f aca="false">DATE(VALUE(MID(SUBSTITUTE(Raw_Data!I6,"/","-"),7,4)),VALUE(MID(SUBSTITUTE(Raw_Data!I6,"/","-"),4,2)),VALUE(LEFT(SUBSTITUTE(Raw_Data!I6,"/","-"),2)))</f>
        <v>45800</v>
      </c>
      <c r="K6" s="2" t="str">
        <f aca="false">IF(COUNTIF(Raw_Data!$A$2:A6,Raw_Data!A6)&gt;1,"Duplicate - Remove","Keep")</f>
        <v>Keep</v>
      </c>
      <c r="L6" s="2" t="str">
        <f aca="false">IF(E6&lt;H6,"Reorder Needed","OK")</f>
        <v>OK</v>
      </c>
    </row>
    <row r="7" customFormat="false" ht="15" hidden="false" customHeight="false" outlineLevel="0" collapsed="false">
      <c r="A7" s="2" t="str">
        <f aca="false">Raw_Data!A7</f>
        <v>SKU1001</v>
      </c>
      <c r="B7" s="2" t="str">
        <f aca="false">TRIM(PROPER(Raw_Data!B7))</f>
        <v>Led Bulb 9W</v>
      </c>
      <c r="C7" s="2" t="str">
        <f aca="false">PROPER(TRIM(Raw_Data!C7))</f>
        <v>Electronics</v>
      </c>
      <c r="D7" s="2" t="str">
        <f aca="false">IF(ISNUMBER(SEARCH("north",Raw_Data!D7)),"WH-North",IF(ISNUMBER(SEARCH("south",Raw_Data!D7)),"WH-South",IF(ISNUMBER(SEARCH("east",Raw_Data!D7)),"WH-East",IF(ISNUMBER(SEARCH("west",Raw_Data!D7)),"WH-West","Unknown"))))</f>
        <v>WH-North</v>
      </c>
      <c r="E7" s="2" t="n">
        <f aca="false">IF(Raw_Data!E7&lt;0,0,Raw_Data!E7)</f>
        <v>0</v>
      </c>
      <c r="F7" s="2" t="str">
        <f aca="false">IF(Raw_Data!E7&lt;0,"Yes","No")</f>
        <v>Yes</v>
      </c>
      <c r="G7" s="2" t="n">
        <f aca="false">IF(Raw_Data!F7="",ROUND(AVERAGEIFS(Raw_Data!$F$2:$F$176,$C$2:$C$176,C7),2),Raw_Data!F7)</f>
        <v>1017.32</v>
      </c>
      <c r="H7" s="2" t="n">
        <f aca="false">Raw_Data!G7</f>
        <v>14</v>
      </c>
      <c r="I7" s="2" t="str">
        <f aca="false">IF(TRIM(Raw_Data!H7)="","Not Assigned",TRIM(Raw_Data!H7))</f>
        <v>Prime Vendors</v>
      </c>
      <c r="J7" s="3" t="n">
        <f aca="false">DATE(VALUE(MID(SUBSTITUTE(Raw_Data!I7,"/","-"),7,4)),VALUE(MID(SUBSTITUTE(Raw_Data!I7,"/","-"),4,2)),VALUE(LEFT(SUBSTITUTE(Raw_Data!I7,"/","-"),2)))</f>
        <v>45684</v>
      </c>
      <c r="K7" s="2" t="str">
        <f aca="false">IF(COUNTIF(Raw_Data!$A$2:A7,Raw_Data!A7)&gt;1,"Duplicate - Remove","Keep")</f>
        <v>Keep</v>
      </c>
      <c r="L7" s="2" t="str">
        <f aca="false">IF(E7&lt;H7,"Reorder Needed","OK")</f>
        <v>Reorder Needed</v>
      </c>
    </row>
    <row r="8" customFormat="false" ht="15" hidden="false" customHeight="false" outlineLevel="0" collapsed="false">
      <c r="A8" s="2" t="str">
        <f aca="false">Raw_Data!A8</f>
        <v>SKU1159</v>
      </c>
      <c r="B8" s="2" t="str">
        <f aca="false">TRIM(PROPER(Raw_Data!B8))</f>
        <v>Board Game</v>
      </c>
      <c r="C8" s="2" t="str">
        <f aca="false">PROPER(TRIM(Raw_Data!C8))</f>
        <v>Toys</v>
      </c>
      <c r="D8" s="2" t="str">
        <f aca="false">IF(ISNUMBER(SEARCH("north",Raw_Data!D8)),"WH-North",IF(ISNUMBER(SEARCH("south",Raw_Data!D8)),"WH-South",IF(ISNUMBER(SEARCH("east",Raw_Data!D8)),"WH-East",IF(ISNUMBER(SEARCH("west",Raw_Data!D8)),"WH-West","Unknown"))))</f>
        <v>WH-East</v>
      </c>
      <c r="E8" s="2" t="n">
        <f aca="false">IF(Raw_Data!E8&lt;0,0,Raw_Data!E8)</f>
        <v>212</v>
      </c>
      <c r="F8" s="2" t="str">
        <f aca="false">IF(Raw_Data!E8&lt;0,"Yes","No")</f>
        <v>No</v>
      </c>
      <c r="G8" s="2" t="n">
        <f aca="false">IF(Raw_Data!F8="",ROUND(AVERAGEIFS(Raw_Data!$F$2:$F$176,$C$2:$C$176,C8),2),Raw_Data!F8)</f>
        <v>338.24</v>
      </c>
      <c r="H8" s="2" t="n">
        <f aca="false">Raw_Data!G8</f>
        <v>11</v>
      </c>
      <c r="I8" s="2" t="str">
        <f aca="false">IF(TRIM(Raw_Data!H8)="","Not Assigned",TRIM(Raw_Data!H8))</f>
        <v>Global Supply Co</v>
      </c>
      <c r="J8" s="3" t="n">
        <f aca="false">DATE(VALUE(MID(SUBSTITUTE(Raw_Data!I8,"/","-"),7,4)),VALUE(MID(SUBSTITUTE(Raw_Data!I8,"/","-"),4,2)),VALUE(LEFT(SUBSTITUTE(Raw_Data!I8,"/","-"),2)))</f>
        <v>45770</v>
      </c>
      <c r="K8" s="2" t="str">
        <f aca="false">IF(COUNTIF(Raw_Data!$A$2:A8,Raw_Data!A8)&gt;1,"Duplicate - Remove","Keep")</f>
        <v>Keep</v>
      </c>
      <c r="L8" s="2" t="str">
        <f aca="false">IF(E8&lt;H8,"Reorder Needed","OK")</f>
        <v>OK</v>
      </c>
    </row>
    <row r="9" customFormat="false" ht="15" hidden="false" customHeight="false" outlineLevel="0" collapsed="false">
      <c r="A9" s="2" t="str">
        <f aca="false">Raw_Data!A9</f>
        <v>SKU1064</v>
      </c>
      <c r="B9" s="2" t="str">
        <f aca="false">TRIM(PROPER(Raw_Data!B9))</f>
        <v>Plastic Chair</v>
      </c>
      <c r="C9" s="2" t="str">
        <f aca="false">PROPER(TRIM(Raw_Data!C9))</f>
        <v>Furniture</v>
      </c>
      <c r="D9" s="2" t="str">
        <f aca="false">IF(ISNUMBER(SEARCH("north",Raw_Data!D9)),"WH-North",IF(ISNUMBER(SEARCH("south",Raw_Data!D9)),"WH-South",IF(ISNUMBER(SEARCH("east",Raw_Data!D9)),"WH-East",IF(ISNUMBER(SEARCH("west",Raw_Data!D9)),"WH-West","Unknown"))))</f>
        <v>WH-West</v>
      </c>
      <c r="E9" s="2" t="n">
        <f aca="false">IF(Raw_Data!E9&lt;0,0,Raw_Data!E9)</f>
        <v>99</v>
      </c>
      <c r="F9" s="2" t="str">
        <f aca="false">IF(Raw_Data!E9&lt;0,"Yes","No")</f>
        <v>No</v>
      </c>
      <c r="G9" s="2" t="n">
        <f aca="false">IF(Raw_Data!F9="",ROUND(AVERAGEIFS(Raw_Data!$F$2:$F$176,$C$2:$C$176,C9),2),Raw_Data!F9)</f>
        <v>1780.89</v>
      </c>
      <c r="H9" s="2" t="n">
        <f aca="false">Raw_Data!G9</f>
        <v>37</v>
      </c>
      <c r="I9" s="2" t="str">
        <f aca="false">IF(TRIM(Raw_Data!H9)="","Not Assigned",TRIM(Raw_Data!H9))</f>
        <v>Fine Goods Pvt Ltd</v>
      </c>
      <c r="J9" s="3" t="n">
        <f aca="false">DATE(VALUE(MID(SUBSTITUTE(Raw_Data!I9,"/","-"),7,4)),VALUE(MID(SUBSTITUTE(Raw_Data!I9,"/","-"),4,2)),VALUE(LEFT(SUBSTITUTE(Raw_Data!I9,"/","-"),2)))</f>
        <v>45687</v>
      </c>
      <c r="K9" s="2" t="str">
        <f aca="false">IF(COUNTIF(Raw_Data!$A$2:A9,Raw_Data!A9)&gt;1,"Duplicate - Remove","Keep")</f>
        <v>Keep</v>
      </c>
      <c r="L9" s="2" t="str">
        <f aca="false">IF(E9&lt;H9,"Reorder Needed","OK")</f>
        <v>OK</v>
      </c>
    </row>
    <row r="10" customFormat="false" ht="15" hidden="false" customHeight="false" outlineLevel="0" collapsed="false">
      <c r="A10" s="2" t="str">
        <f aca="false">Raw_Data!A10</f>
        <v>SKU1157</v>
      </c>
      <c r="B10" s="2" t="str">
        <f aca="false">TRIM(PROPER(Raw_Data!B10))</f>
        <v>Board Game</v>
      </c>
      <c r="C10" s="2" t="str">
        <f aca="false">PROPER(TRIM(Raw_Data!C10))</f>
        <v>Toys</v>
      </c>
      <c r="D10" s="2" t="str">
        <f aca="false">IF(ISNUMBER(SEARCH("north",Raw_Data!D10)),"WH-North",IF(ISNUMBER(SEARCH("south",Raw_Data!D10)),"WH-South",IF(ISNUMBER(SEARCH("east",Raw_Data!D10)),"WH-East",IF(ISNUMBER(SEARCH("west",Raw_Data!D10)),"WH-West","Unknown"))))</f>
        <v>WH-North</v>
      </c>
      <c r="E10" s="2" t="n">
        <f aca="false">IF(Raw_Data!E10&lt;0,0,Raw_Data!E10)</f>
        <v>83</v>
      </c>
      <c r="F10" s="2" t="str">
        <f aca="false">IF(Raw_Data!E10&lt;0,"Yes","No")</f>
        <v>No</v>
      </c>
      <c r="G10" s="2" t="n">
        <f aca="false">IF(Raw_Data!F10="",ROUND(AVERAGEIFS(Raw_Data!$F$2:$F$176,$C$2:$C$176,C10),2),Raw_Data!F10)</f>
        <v>2516.69</v>
      </c>
      <c r="H10" s="2" t="n">
        <f aca="false">Raw_Data!G10</f>
        <v>38</v>
      </c>
      <c r="I10" s="2" t="str">
        <f aca="false">IF(TRIM(Raw_Data!H10)="","Not Assigned",TRIM(Raw_Data!H10))</f>
        <v>Nova Wholesale</v>
      </c>
      <c r="J10" s="3" t="n">
        <f aca="false">DATE(VALUE(MID(SUBSTITUTE(Raw_Data!I10,"/","-"),7,4)),VALUE(MID(SUBSTITUTE(Raw_Data!I10,"/","-"),4,2)),VALUE(LEFT(SUBSTITUTE(Raw_Data!I10,"/","-"),2)))</f>
        <v>45744</v>
      </c>
      <c r="K10" s="2" t="str">
        <f aca="false">IF(COUNTIF(Raw_Data!$A$2:A10,Raw_Data!A10)&gt;1,"Duplicate - Remove","Keep")</f>
        <v>Keep</v>
      </c>
      <c r="L10" s="2" t="str">
        <f aca="false">IF(E10&lt;H10,"Reorder Needed","OK")</f>
        <v>OK</v>
      </c>
    </row>
    <row r="11" customFormat="false" ht="15" hidden="false" customHeight="false" outlineLevel="0" collapsed="false">
      <c r="A11" s="2" t="str">
        <f aca="false">Raw_Data!A11</f>
        <v>SKU1037</v>
      </c>
      <c r="B11" s="2" t="str">
        <f aca="false">TRIM(PROPER(Raw_Data!B11))</f>
        <v>Stapler Small</v>
      </c>
      <c r="C11" s="2" t="str">
        <f aca="false">PROPER(TRIM(Raw_Data!C11))</f>
        <v>Stationery</v>
      </c>
      <c r="D11" s="2" t="str">
        <f aca="false">IF(ISNUMBER(SEARCH("north",Raw_Data!D11)),"WH-North",IF(ISNUMBER(SEARCH("south",Raw_Data!D11)),"WH-South",IF(ISNUMBER(SEARCH("east",Raw_Data!D11)),"WH-East",IF(ISNUMBER(SEARCH("west",Raw_Data!D11)),"WH-West","Unknown"))))</f>
        <v>WH-North</v>
      </c>
      <c r="E11" s="2" t="n">
        <f aca="false">IF(Raw_Data!E11&lt;0,0,Raw_Data!E11)</f>
        <v>165</v>
      </c>
      <c r="F11" s="2" t="str">
        <f aca="false">IF(Raw_Data!E11&lt;0,"Yes","No")</f>
        <v>No</v>
      </c>
      <c r="G11" s="2" t="n">
        <f aca="false">IF(Raw_Data!F11="",ROUND(AVERAGEIFS(Raw_Data!$F$2:$F$176,$C$2:$C$176,C11),2),Raw_Data!F11)</f>
        <v>542.27</v>
      </c>
      <c r="H11" s="2" t="n">
        <f aca="false">Raw_Data!G11</f>
        <v>38</v>
      </c>
      <c r="I11" s="2" t="str">
        <f aca="false">IF(TRIM(Raw_Data!H11)="","Not Assigned",TRIM(Raw_Data!H11))</f>
        <v>Metro Distributors</v>
      </c>
      <c r="J11" s="3" t="n">
        <f aca="false">DATE(VALUE(MID(SUBSTITUTE(Raw_Data!I11,"/","-"),7,4)),VALUE(MID(SUBSTITUTE(Raw_Data!I11,"/","-"),4,2)),VALUE(LEFT(SUBSTITUTE(Raw_Data!I11,"/","-"),2)))</f>
        <v>45787</v>
      </c>
      <c r="K11" s="2" t="str">
        <f aca="false">IF(COUNTIF(Raw_Data!$A$2:A11,Raw_Data!A11)&gt;1,"Duplicate - Remove","Keep")</f>
        <v>Keep</v>
      </c>
      <c r="L11" s="2" t="str">
        <f aca="false">IF(E11&lt;H11,"Reorder Needed","OK")</f>
        <v>OK</v>
      </c>
    </row>
    <row r="12" customFormat="false" ht="15" hidden="false" customHeight="false" outlineLevel="0" collapsed="false">
      <c r="A12" s="2" t="str">
        <f aca="false">Raw_Data!A12</f>
        <v>SKU1139</v>
      </c>
      <c r="B12" s="2" t="str">
        <f aca="false">TRIM(PROPER(Raw_Data!B12))</f>
        <v>Cutlery Set</v>
      </c>
      <c r="C12" s="2" t="str">
        <f aca="false">PROPER(TRIM(Raw_Data!C12))</f>
        <v>Kitchenware</v>
      </c>
      <c r="D12" s="2" t="str">
        <f aca="false">IF(ISNUMBER(SEARCH("north",Raw_Data!D12)),"WH-North",IF(ISNUMBER(SEARCH("south",Raw_Data!D12)),"WH-South",IF(ISNUMBER(SEARCH("east",Raw_Data!D12)),"WH-East",IF(ISNUMBER(SEARCH("west",Raw_Data!D12)),"WH-West","Unknown"))))</f>
        <v>WH-East</v>
      </c>
      <c r="E12" s="2" t="n">
        <f aca="false">IF(Raw_Data!E12&lt;0,0,Raw_Data!E12)</f>
        <v>297</v>
      </c>
      <c r="F12" s="2" t="str">
        <f aca="false">IF(Raw_Data!E12&lt;0,"Yes","No")</f>
        <v>No</v>
      </c>
      <c r="G12" s="2" t="n">
        <f aca="false">IF(Raw_Data!F12="",ROUND(AVERAGEIFS(Raw_Data!$F$2:$F$176,$C$2:$C$176,C12),2),Raw_Data!F12)</f>
        <v>2674.27</v>
      </c>
      <c r="H12" s="2" t="n">
        <f aca="false">Raw_Data!G12</f>
        <v>12</v>
      </c>
      <c r="I12" s="2" t="str">
        <f aca="false">IF(TRIM(Raw_Data!H12)="","Not Assigned",TRIM(Raw_Data!H12))</f>
        <v>Not Assigned</v>
      </c>
      <c r="J12" s="3" t="n">
        <f aca="false">DATE(VALUE(MID(SUBSTITUTE(Raw_Data!I12,"/","-"),7,4)),VALUE(MID(SUBSTITUTE(Raw_Data!I12,"/","-"),4,2)),VALUE(LEFT(SUBSTITUTE(Raw_Data!I12,"/","-"),2)))</f>
        <v>45750</v>
      </c>
      <c r="K12" s="2" t="str">
        <f aca="false">IF(COUNTIF(Raw_Data!$A$2:A12,Raw_Data!A12)&gt;1,"Duplicate - Remove","Keep")</f>
        <v>Keep</v>
      </c>
      <c r="L12" s="2" t="str">
        <f aca="false">IF(E12&lt;H12,"Reorder Needed","OK")</f>
        <v>OK</v>
      </c>
    </row>
    <row r="13" customFormat="false" ht="15" hidden="false" customHeight="false" outlineLevel="0" collapsed="false">
      <c r="A13" s="2" t="str">
        <f aca="false">Raw_Data!A13</f>
        <v>SKU1055</v>
      </c>
      <c r="B13" s="2" t="str">
        <f aca="false">TRIM(PROPER(Raw_Data!B13))</f>
        <v>Room Heater 1000W</v>
      </c>
      <c r="C13" s="2" t="str">
        <f aca="false">PROPER(TRIM(Raw_Data!C13))</f>
        <v>Home Appliances</v>
      </c>
      <c r="D13" s="2" t="str">
        <f aca="false">IF(ISNUMBER(SEARCH("north",Raw_Data!D13)),"WH-North",IF(ISNUMBER(SEARCH("south",Raw_Data!D13)),"WH-South",IF(ISNUMBER(SEARCH("east",Raw_Data!D13)),"WH-East",IF(ISNUMBER(SEARCH("west",Raw_Data!D13)),"WH-West","Unknown"))))</f>
        <v>WH-East</v>
      </c>
      <c r="E13" s="2" t="n">
        <f aca="false">IF(Raw_Data!E13&lt;0,0,Raw_Data!E13)</f>
        <v>0</v>
      </c>
      <c r="F13" s="2" t="str">
        <f aca="false">IF(Raw_Data!E13&lt;0,"Yes","No")</f>
        <v>Yes</v>
      </c>
      <c r="G13" s="2" t="n">
        <f aca="false">IF(Raw_Data!F13="",ROUND(AVERAGEIFS(Raw_Data!$F$2:$F$176,$C$2:$C$176,C13),2),Raw_Data!F13)</f>
        <v>3298.21</v>
      </c>
      <c r="H13" s="2" t="n">
        <f aca="false">Raw_Data!G13</f>
        <v>13</v>
      </c>
      <c r="I13" s="2" t="str">
        <f aca="false">IF(TRIM(Raw_Data!H13)="","Not Assigned",TRIM(Raw_Data!H13))</f>
        <v>Fine Goods Pvt Ltd</v>
      </c>
      <c r="J13" s="3" t="n">
        <f aca="false">DATE(VALUE(MID(SUBSTITUTE(Raw_Data!I13,"/","-"),7,4)),VALUE(MID(SUBSTITUTE(Raw_Data!I13,"/","-"),4,2)),VALUE(LEFT(SUBSTITUTE(Raw_Data!I13,"/","-"),2)))</f>
        <v>45750</v>
      </c>
      <c r="K13" s="2" t="str">
        <f aca="false">IF(COUNTIF(Raw_Data!$A$2:A13,Raw_Data!A13)&gt;1,"Duplicate - Remove","Keep")</f>
        <v>Keep</v>
      </c>
      <c r="L13" s="2" t="str">
        <f aca="false">IF(E13&lt;H13,"Reorder Needed","OK")</f>
        <v>Reorder Needed</v>
      </c>
    </row>
    <row r="14" customFormat="false" ht="15" hidden="false" customHeight="false" outlineLevel="0" collapsed="false">
      <c r="A14" s="2" t="str">
        <f aca="false">Raw_Data!A14</f>
        <v>SKU1112</v>
      </c>
      <c r="B14" s="2" t="str">
        <f aca="false">TRIM(PROPER(Raw_Data!B14))</f>
        <v>Formal Shirt</v>
      </c>
      <c r="C14" s="2" t="str">
        <f aca="false">PROPER(TRIM(Raw_Data!C14))</f>
        <v>Apparel</v>
      </c>
      <c r="D14" s="2" t="str">
        <f aca="false">IF(ISNUMBER(SEARCH("north",Raw_Data!D14)),"WH-North",IF(ISNUMBER(SEARCH("south",Raw_Data!D14)),"WH-South",IF(ISNUMBER(SEARCH("east",Raw_Data!D14)),"WH-East",IF(ISNUMBER(SEARCH("west",Raw_Data!D14)),"WH-West","Unknown"))))</f>
        <v>WH-West</v>
      </c>
      <c r="E14" s="2" t="n">
        <f aca="false">IF(Raw_Data!E14&lt;0,0,Raw_Data!E14)</f>
        <v>276</v>
      </c>
      <c r="F14" s="2" t="str">
        <f aca="false">IF(Raw_Data!E14&lt;0,"Yes","No")</f>
        <v>No</v>
      </c>
      <c r="G14" s="2" t="n">
        <f aca="false">IF(Raw_Data!F14="",ROUND(AVERAGEIFS(Raw_Data!$F$2:$F$176,$C$2:$C$176,C14),2),Raw_Data!F14)</f>
        <v>1708.34</v>
      </c>
      <c r="H14" s="2" t="n">
        <f aca="false">Raw_Data!G14</f>
        <v>20</v>
      </c>
      <c r="I14" s="2" t="str">
        <f aca="false">IF(TRIM(Raw_Data!H14)="","Not Assigned",TRIM(Raw_Data!H14))</f>
        <v>Global Supply Co</v>
      </c>
      <c r="J14" s="3" t="n">
        <f aca="false">DATE(VALUE(MID(SUBSTITUTE(Raw_Data!I14,"/","-"),7,4)),VALUE(MID(SUBSTITUTE(Raw_Data!I14,"/","-"),4,2)),VALUE(LEFT(SUBSTITUTE(Raw_Data!I14,"/","-"),2)))</f>
        <v>45752</v>
      </c>
      <c r="K14" s="2" t="str">
        <f aca="false">IF(COUNTIF(Raw_Data!$A$2:A14,Raw_Data!A14)&gt;1,"Duplicate - Remove","Keep")</f>
        <v>Keep</v>
      </c>
      <c r="L14" s="2" t="str">
        <f aca="false">IF(E14&lt;H14,"Reorder Needed","OK")</f>
        <v>OK</v>
      </c>
    </row>
    <row r="15" customFormat="false" ht="15" hidden="false" customHeight="false" outlineLevel="0" collapsed="false">
      <c r="A15" s="2" t="str">
        <f aca="false">Raw_Data!A15</f>
        <v>SKU1131</v>
      </c>
      <c r="B15" s="2" t="str">
        <f aca="false">TRIM(PROPER(Raw_Data!B15))</f>
        <v>Pressure Cooker 3L</v>
      </c>
      <c r="C15" s="2" t="str">
        <f aca="false">PROPER(TRIM(Raw_Data!C15))</f>
        <v>Kitchenware</v>
      </c>
      <c r="D15" s="2" t="str">
        <f aca="false">IF(ISNUMBER(SEARCH("north",Raw_Data!D15)),"WH-North",IF(ISNUMBER(SEARCH("south",Raw_Data!D15)),"WH-South",IF(ISNUMBER(SEARCH("east",Raw_Data!D15)),"WH-East",IF(ISNUMBER(SEARCH("west",Raw_Data!D15)),"WH-West","Unknown"))))</f>
        <v>WH-East</v>
      </c>
      <c r="E15" s="2" t="n">
        <f aca="false">IF(Raw_Data!E15&lt;0,0,Raw_Data!E15)</f>
        <v>89</v>
      </c>
      <c r="F15" s="2" t="str">
        <f aca="false">IF(Raw_Data!E15&lt;0,"Yes","No")</f>
        <v>No</v>
      </c>
      <c r="G15" s="2" t="n">
        <f aca="false">IF(Raw_Data!F15="",ROUND(AVERAGEIFS(Raw_Data!$F$2:$F$176,$C$2:$C$176,C15),2),Raw_Data!F15)</f>
        <v>222.59</v>
      </c>
      <c r="H15" s="2" t="n">
        <f aca="false">Raw_Data!G15</f>
        <v>21</v>
      </c>
      <c r="I15" s="2" t="str">
        <f aca="false">IF(TRIM(Raw_Data!H15)="","Not Assigned",TRIM(Raw_Data!H15))</f>
        <v>Prime Vendors</v>
      </c>
      <c r="J15" s="3" t="n">
        <f aca="false">DATE(VALUE(MID(SUBSTITUTE(Raw_Data!I15,"/","-"),7,4)),VALUE(MID(SUBSTITUTE(Raw_Data!I15,"/","-"),4,2)),VALUE(LEFT(SUBSTITUTE(Raw_Data!I15,"/","-"),2)))</f>
        <v>45842</v>
      </c>
      <c r="K15" s="2" t="str">
        <f aca="false">IF(COUNTIF(Raw_Data!$A$2:A15,Raw_Data!A15)&gt;1,"Duplicate - Remove","Keep")</f>
        <v>Keep</v>
      </c>
      <c r="L15" s="2" t="str">
        <f aca="false">IF(E15&lt;H15,"Reorder Needed","OK")</f>
        <v>OK</v>
      </c>
    </row>
    <row r="16" customFormat="false" ht="15" hidden="false" customHeight="false" outlineLevel="0" collapsed="false">
      <c r="A16" s="2" t="str">
        <f aca="false">Raw_Data!A16</f>
        <v>SKU1002</v>
      </c>
      <c r="B16" s="2" t="str">
        <f aca="false">TRIM(PROPER(Raw_Data!B16))</f>
        <v>Led Bulb 9W</v>
      </c>
      <c r="C16" s="2" t="str">
        <f aca="false">PROPER(TRIM(Raw_Data!C16))</f>
        <v>Electronics</v>
      </c>
      <c r="D16" s="2" t="str">
        <f aca="false">IF(ISNUMBER(SEARCH("north",Raw_Data!D16)),"WH-North",IF(ISNUMBER(SEARCH("south",Raw_Data!D16)),"WH-South",IF(ISNUMBER(SEARCH("east",Raw_Data!D16)),"WH-East",IF(ISNUMBER(SEARCH("west",Raw_Data!D16)),"WH-West","Unknown"))))</f>
        <v>WH-South</v>
      </c>
      <c r="E16" s="2" t="n">
        <f aca="false">IF(Raw_Data!E16&lt;0,0,Raw_Data!E16)</f>
        <v>18</v>
      </c>
      <c r="F16" s="2" t="str">
        <f aca="false">IF(Raw_Data!E16&lt;0,"Yes","No")</f>
        <v>No</v>
      </c>
      <c r="G16" s="2" t="n">
        <f aca="false">IF(Raw_Data!F16="",ROUND(AVERAGEIFS(Raw_Data!$F$2:$F$176,$C$2:$C$176,C16),2),Raw_Data!F16)</f>
        <v>2878.28</v>
      </c>
      <c r="H16" s="2" t="n">
        <f aca="false">Raw_Data!G16</f>
        <v>32</v>
      </c>
      <c r="I16" s="2" t="str">
        <f aca="false">IF(TRIM(Raw_Data!H16)="","Not Assigned",TRIM(Raw_Data!H16))</f>
        <v>Not Assigned</v>
      </c>
      <c r="J16" s="3" t="n">
        <f aca="false">DATE(VALUE(MID(SUBSTITUTE(Raw_Data!I16,"/","-"),7,4)),VALUE(MID(SUBSTITUTE(Raw_Data!I16,"/","-"),4,2)),VALUE(LEFT(SUBSTITUTE(Raw_Data!I16,"/","-"),2)))</f>
        <v>45765</v>
      </c>
      <c r="K16" s="2" t="str">
        <f aca="false">IF(COUNTIF(Raw_Data!$A$2:A16,Raw_Data!A16)&gt;1,"Duplicate - Remove","Keep")</f>
        <v>Keep</v>
      </c>
      <c r="L16" s="2" t="str">
        <f aca="false">IF(E16&lt;H16,"Reorder Needed","OK")</f>
        <v>Reorder Needed</v>
      </c>
    </row>
    <row r="17" customFormat="false" ht="15" hidden="false" customHeight="false" outlineLevel="0" collapsed="false">
      <c r="A17" s="2" t="str">
        <f aca="false">Raw_Data!A17</f>
        <v>SKU1084</v>
      </c>
      <c r="B17" s="2" t="str">
        <f aca="false">TRIM(PROPER(Raw_Data!B17))</f>
        <v>Running Shoes Men</v>
      </c>
      <c r="C17" s="2" t="str">
        <f aca="false">PROPER(TRIM(Raw_Data!C17))</f>
        <v>Footwear</v>
      </c>
      <c r="D17" s="2" t="str">
        <f aca="false">IF(ISNUMBER(SEARCH("north",Raw_Data!D17)),"WH-North",IF(ISNUMBER(SEARCH("south",Raw_Data!D17)),"WH-South",IF(ISNUMBER(SEARCH("east",Raw_Data!D17)),"WH-East",IF(ISNUMBER(SEARCH("west",Raw_Data!D17)),"WH-West","Unknown"))))</f>
        <v>WH-West</v>
      </c>
      <c r="E17" s="2" t="n">
        <f aca="false">IF(Raw_Data!E17&lt;0,0,Raw_Data!E17)</f>
        <v>121</v>
      </c>
      <c r="F17" s="2" t="str">
        <f aca="false">IF(Raw_Data!E17&lt;0,"Yes","No")</f>
        <v>No</v>
      </c>
      <c r="G17" s="2" t="n">
        <f aca="false">IF(Raw_Data!F17="",ROUND(AVERAGEIFS(Raw_Data!$F$2:$F$176,$C$2:$C$176,C17),2),Raw_Data!F17)</f>
        <v>1877.7</v>
      </c>
      <c r="H17" s="2" t="n">
        <f aca="false">Raw_Data!G17</f>
        <v>13</v>
      </c>
      <c r="I17" s="2" t="str">
        <f aca="false">IF(TRIM(Raw_Data!H17)="","Not Assigned",TRIM(Raw_Data!H17))</f>
        <v>Prime Vendors</v>
      </c>
      <c r="J17" s="3" t="n">
        <f aca="false">DATE(VALUE(MID(SUBSTITUTE(Raw_Data!I17,"/","-"),7,4)),VALUE(MID(SUBSTITUTE(Raw_Data!I17,"/","-"),4,2)),VALUE(LEFT(SUBSTITUTE(Raw_Data!I17,"/","-"),2)))</f>
        <v>45838</v>
      </c>
      <c r="K17" s="2" t="str">
        <f aca="false">IF(COUNTIF(Raw_Data!$A$2:A17,Raw_Data!A17)&gt;1,"Duplicate - Remove","Keep")</f>
        <v>Keep</v>
      </c>
      <c r="L17" s="2" t="str">
        <f aca="false">IF(E17&lt;H17,"Reorder Needed","OK")</f>
        <v>OK</v>
      </c>
    </row>
    <row r="18" customFormat="false" ht="15" hidden="false" customHeight="false" outlineLevel="0" collapsed="false">
      <c r="A18" s="2" t="str">
        <f aca="false">Raw_Data!A18</f>
        <v>SKU1102</v>
      </c>
      <c r="B18" s="2" t="str">
        <f aca="false">TRIM(PROPER(Raw_Data!B18))</f>
        <v>Cotton T-Shirt</v>
      </c>
      <c r="C18" s="2" t="str">
        <f aca="false">PROPER(TRIM(Raw_Data!C18))</f>
        <v>Apparel</v>
      </c>
      <c r="D18" s="2" t="str">
        <f aca="false">IF(ISNUMBER(SEARCH("north",Raw_Data!D18)),"WH-North",IF(ISNUMBER(SEARCH("south",Raw_Data!D18)),"WH-South",IF(ISNUMBER(SEARCH("east",Raw_Data!D18)),"WH-East",IF(ISNUMBER(SEARCH("west",Raw_Data!D18)),"WH-West","Unknown"))))</f>
        <v>WH-South</v>
      </c>
      <c r="E18" s="2" t="n">
        <f aca="false">IF(Raw_Data!E18&lt;0,0,Raw_Data!E18)</f>
        <v>69</v>
      </c>
      <c r="F18" s="2" t="str">
        <f aca="false">IF(Raw_Data!E18&lt;0,"Yes","No")</f>
        <v>No</v>
      </c>
      <c r="G18" s="2" t="n">
        <f aca="false">IF(Raw_Data!F18="",ROUND(AVERAGEIFS(Raw_Data!$F$2:$F$176,$C$2:$C$176,C18),2),Raw_Data!F18)</f>
        <v>2128.04</v>
      </c>
      <c r="H18" s="2" t="n">
        <f aca="false">Raw_Data!G18</f>
        <v>33</v>
      </c>
      <c r="I18" s="2" t="str">
        <f aca="false">IF(TRIM(Raw_Data!H18)="","Not Assigned",TRIM(Raw_Data!H18))</f>
        <v>Sharma Traders</v>
      </c>
      <c r="J18" s="3" t="n">
        <f aca="false">DATE(VALUE(MID(SUBSTITUTE(Raw_Data!I18,"/","-"),7,4)),VALUE(MID(SUBSTITUTE(Raw_Data!I18,"/","-"),4,2)),VALUE(LEFT(SUBSTITUTE(Raw_Data!I18,"/","-"),2)))</f>
        <v>45779</v>
      </c>
      <c r="K18" s="2" t="str">
        <f aca="false">IF(COUNTIF(Raw_Data!$A$2:A18,Raw_Data!A18)&gt;1,"Duplicate - Remove","Keep")</f>
        <v>Keep</v>
      </c>
      <c r="L18" s="2" t="str">
        <f aca="false">IF(E18&lt;H18,"Reorder Needed","OK")</f>
        <v>OK</v>
      </c>
    </row>
    <row r="19" customFormat="false" ht="15" hidden="false" customHeight="false" outlineLevel="0" collapsed="false">
      <c r="A19" s="2" t="str">
        <f aca="false">Raw_Data!A19</f>
        <v>SKU1038</v>
      </c>
      <c r="B19" s="2" t="str">
        <f aca="false">TRIM(PROPER(Raw_Data!B19))</f>
        <v>Stapler Small</v>
      </c>
      <c r="C19" s="2" t="str">
        <f aca="false">PROPER(TRIM(Raw_Data!C19))</f>
        <v>Stationery</v>
      </c>
      <c r="D19" s="2" t="str">
        <f aca="false">IF(ISNUMBER(SEARCH("north",Raw_Data!D19)),"WH-North",IF(ISNUMBER(SEARCH("south",Raw_Data!D19)),"WH-South",IF(ISNUMBER(SEARCH("east",Raw_Data!D19)),"WH-East",IF(ISNUMBER(SEARCH("west",Raw_Data!D19)),"WH-West","Unknown"))))</f>
        <v>WH-South</v>
      </c>
      <c r="E19" s="2" t="n">
        <f aca="false">IF(Raw_Data!E19&lt;0,0,Raw_Data!E19)</f>
        <v>220</v>
      </c>
      <c r="F19" s="2" t="str">
        <f aca="false">IF(Raw_Data!E19&lt;0,"Yes","No")</f>
        <v>No</v>
      </c>
      <c r="G19" s="2" t="n">
        <f aca="false">IF(Raw_Data!F19="",ROUND(AVERAGEIFS(Raw_Data!$F$2:$F$176,$C$2:$C$176,C19),2),Raw_Data!F19)</f>
        <v>1547.62</v>
      </c>
      <c r="H19" s="2" t="n">
        <f aca="false">Raw_Data!G19</f>
        <v>33</v>
      </c>
      <c r="I19" s="2" t="str">
        <f aca="false">IF(TRIM(Raw_Data!H19)="","Not Assigned",TRIM(Raw_Data!H19))</f>
        <v>Not Assigned</v>
      </c>
      <c r="J19" s="3" t="n">
        <f aca="false">DATE(VALUE(MID(SUBSTITUTE(Raw_Data!I19,"/","-"),7,4)),VALUE(MID(SUBSTITUTE(Raw_Data!I19,"/","-"),4,2)),VALUE(LEFT(SUBSTITUTE(Raw_Data!I19,"/","-"),2)))</f>
        <v>45815</v>
      </c>
      <c r="K19" s="2" t="str">
        <f aca="false">IF(COUNTIF(Raw_Data!$A$2:A19,Raw_Data!A19)&gt;1,"Duplicate - Remove","Keep")</f>
        <v>Keep</v>
      </c>
      <c r="L19" s="2" t="str">
        <f aca="false">IF(E19&lt;H19,"Reorder Needed","OK")</f>
        <v>OK</v>
      </c>
    </row>
    <row r="20" customFormat="false" ht="15" hidden="false" customHeight="false" outlineLevel="0" collapsed="false">
      <c r="A20" s="2" t="str">
        <f aca="false">Raw_Data!A20</f>
        <v>SKU1108</v>
      </c>
      <c r="B20" s="2" t="str">
        <f aca="false">TRIM(PROPER(Raw_Data!B20))</f>
        <v>Denim Jeans</v>
      </c>
      <c r="C20" s="2" t="str">
        <f aca="false">PROPER(TRIM(Raw_Data!C20))</f>
        <v>Apparel</v>
      </c>
      <c r="D20" s="2" t="str">
        <f aca="false">IF(ISNUMBER(SEARCH("north",Raw_Data!D20)),"WH-North",IF(ISNUMBER(SEARCH("south",Raw_Data!D20)),"WH-South",IF(ISNUMBER(SEARCH("east",Raw_Data!D20)),"WH-East",IF(ISNUMBER(SEARCH("west",Raw_Data!D20)),"WH-West","Unknown"))))</f>
        <v>WH-West</v>
      </c>
      <c r="E20" s="2" t="n">
        <f aca="false">IF(Raw_Data!E20&lt;0,0,Raw_Data!E20)</f>
        <v>67</v>
      </c>
      <c r="F20" s="2" t="str">
        <f aca="false">IF(Raw_Data!E20&lt;0,"Yes","No")</f>
        <v>No</v>
      </c>
      <c r="G20" s="2" t="n">
        <f aca="false">IF(Raw_Data!F20="",ROUND(AVERAGEIFS(Raw_Data!$F$2:$F$176,$C$2:$C$176,C20),2),Raw_Data!F20)</f>
        <v>3500.75</v>
      </c>
      <c r="H20" s="2" t="n">
        <f aca="false">Raw_Data!G20</f>
        <v>40</v>
      </c>
      <c r="I20" s="2" t="str">
        <f aca="false">IF(TRIM(Raw_Data!H20)="","Not Assigned",TRIM(Raw_Data!H20))</f>
        <v>Fine Goods Pvt Ltd</v>
      </c>
      <c r="J20" s="3" t="n">
        <f aca="false">DATE(VALUE(MID(SUBSTITUTE(Raw_Data!I20,"/","-"),7,4)),VALUE(MID(SUBSTITUTE(Raw_Data!I20,"/","-"),4,2)),VALUE(LEFT(SUBSTITUTE(Raw_Data!I20,"/","-"),2)))</f>
        <v>45880</v>
      </c>
      <c r="K20" s="2" t="str">
        <f aca="false">IF(COUNTIF(Raw_Data!$A$2:A20,Raw_Data!A20)&gt;1,"Duplicate - Remove","Keep")</f>
        <v>Keep</v>
      </c>
      <c r="L20" s="2" t="str">
        <f aca="false">IF(E20&lt;H20,"Reorder Needed","OK")</f>
        <v>OK</v>
      </c>
    </row>
    <row r="21" customFormat="false" ht="15" hidden="false" customHeight="false" outlineLevel="0" collapsed="false">
      <c r="A21" s="2" t="str">
        <f aca="false">Raw_Data!A21</f>
        <v>SKU1011</v>
      </c>
      <c r="B21" s="2" t="str">
        <f aca="false">TRIM(PROPER(Raw_Data!B21))</f>
        <v>Bluetooth Speaker</v>
      </c>
      <c r="C21" s="2" t="str">
        <f aca="false">PROPER(TRIM(Raw_Data!C21))</f>
        <v>Electronics</v>
      </c>
      <c r="D21" s="2" t="str">
        <f aca="false">IF(ISNUMBER(SEARCH("north",Raw_Data!D21)),"WH-North",IF(ISNUMBER(SEARCH("south",Raw_Data!D21)),"WH-South",IF(ISNUMBER(SEARCH("east",Raw_Data!D21)),"WH-East",IF(ISNUMBER(SEARCH("west",Raw_Data!D21)),"WH-West","Unknown"))))</f>
        <v>WH-East</v>
      </c>
      <c r="E21" s="2" t="n">
        <f aca="false">IF(Raw_Data!E21&lt;0,0,Raw_Data!E21)</f>
        <v>179</v>
      </c>
      <c r="F21" s="2" t="str">
        <f aca="false">IF(Raw_Data!E21&lt;0,"Yes","No")</f>
        <v>No</v>
      </c>
      <c r="G21" s="2" t="n">
        <f aca="false">IF(Raw_Data!F21="",ROUND(AVERAGEIFS(Raw_Data!$F$2:$F$176,$C$2:$C$176,C21),2),Raw_Data!F21)</f>
        <v>1767.32</v>
      </c>
      <c r="H21" s="2" t="n">
        <f aca="false">Raw_Data!G21</f>
        <v>24</v>
      </c>
      <c r="I21" s="2" t="str">
        <f aca="false">IF(TRIM(Raw_Data!H21)="","Not Assigned",TRIM(Raw_Data!H21))</f>
        <v>Sharma Traders</v>
      </c>
      <c r="J21" s="3" t="n">
        <f aca="false">DATE(VALUE(MID(SUBSTITUTE(Raw_Data!I21,"/","-"),7,4)),VALUE(MID(SUBSTITUTE(Raw_Data!I21,"/","-"),4,2)),VALUE(LEFT(SUBSTITUTE(Raw_Data!I21,"/","-"),2)))</f>
        <v>45842</v>
      </c>
      <c r="K21" s="2" t="str">
        <f aca="false">IF(COUNTIF(Raw_Data!$A$2:A21,Raw_Data!A21)&gt;1,"Duplicate - Remove","Keep")</f>
        <v>Keep</v>
      </c>
      <c r="L21" s="2" t="str">
        <f aca="false">IF(E21&lt;H21,"Reorder Needed","OK")</f>
        <v>OK</v>
      </c>
    </row>
    <row r="22" customFormat="false" ht="15" hidden="false" customHeight="false" outlineLevel="0" collapsed="false">
      <c r="A22" s="2" t="str">
        <f aca="false">Raw_Data!A22</f>
        <v>SKU1016</v>
      </c>
      <c r="B22" s="2" t="str">
        <f aca="false">TRIM(PROPER(Raw_Data!B22))</f>
        <v>Power Bank 10000Mah</v>
      </c>
      <c r="C22" s="2" t="str">
        <f aca="false">PROPER(TRIM(Raw_Data!C22))</f>
        <v>Electronics</v>
      </c>
      <c r="D22" s="2" t="str">
        <f aca="false">IF(ISNUMBER(SEARCH("north",Raw_Data!D22)),"WH-North",IF(ISNUMBER(SEARCH("south",Raw_Data!D22)),"WH-South",IF(ISNUMBER(SEARCH("east",Raw_Data!D22)),"WH-East",IF(ISNUMBER(SEARCH("west",Raw_Data!D22)),"WH-West","Unknown"))))</f>
        <v>WH-West</v>
      </c>
      <c r="E22" s="2" t="n">
        <f aca="false">IF(Raw_Data!E22&lt;0,0,Raw_Data!E22)</f>
        <v>39</v>
      </c>
      <c r="F22" s="2" t="str">
        <f aca="false">IF(Raw_Data!E22&lt;0,"Yes","No")</f>
        <v>No</v>
      </c>
      <c r="G22" s="2" t="n">
        <f aca="false">IF(Raw_Data!F22="",ROUND(AVERAGEIFS(Raw_Data!$F$2:$F$176,$C$2:$C$176,C22),2),Raw_Data!F22)</f>
        <v>3445.56</v>
      </c>
      <c r="H22" s="2" t="n">
        <f aca="false">Raw_Data!G22</f>
        <v>12</v>
      </c>
      <c r="I22" s="2" t="str">
        <f aca="false">IF(TRIM(Raw_Data!H22)="","Not Assigned",TRIM(Raw_Data!H22))</f>
        <v>Nova Wholesale</v>
      </c>
      <c r="J22" s="3" t="n">
        <f aca="false">DATE(VALUE(MID(SUBSTITUTE(Raw_Data!I22,"/","-"),7,4)),VALUE(MID(SUBSTITUTE(Raw_Data!I22,"/","-"),4,2)),VALUE(LEFT(SUBSTITUTE(Raw_Data!I22,"/","-"),2)))</f>
        <v>45718</v>
      </c>
      <c r="K22" s="2" t="str">
        <f aca="false">IF(COUNTIF(Raw_Data!$A$2:A22,Raw_Data!A22)&gt;1,"Duplicate - Remove","Keep")</f>
        <v>Keep</v>
      </c>
      <c r="L22" s="2" t="str">
        <f aca="false">IF(E22&lt;H22,"Reorder Needed","OK")</f>
        <v>OK</v>
      </c>
    </row>
    <row r="23" customFormat="false" ht="15" hidden="false" customHeight="false" outlineLevel="0" collapsed="false">
      <c r="A23" s="2" t="str">
        <f aca="false">Raw_Data!A23</f>
        <v>SKU1071</v>
      </c>
      <c r="B23" s="2" t="str">
        <f aca="false">TRIM(PROPER(Raw_Data!B23))</f>
        <v>Bookshelf 3-Tier</v>
      </c>
      <c r="C23" s="2" t="str">
        <f aca="false">PROPER(TRIM(Raw_Data!C23))</f>
        <v>Furniture</v>
      </c>
      <c r="D23" s="2" t="str">
        <f aca="false">IF(ISNUMBER(SEARCH("north",Raw_Data!D23)),"WH-North",IF(ISNUMBER(SEARCH("south",Raw_Data!D23)),"WH-South",IF(ISNUMBER(SEARCH("east",Raw_Data!D23)),"WH-East",IF(ISNUMBER(SEARCH("west",Raw_Data!D23)),"WH-West","Unknown"))))</f>
        <v>WH-East</v>
      </c>
      <c r="E23" s="2" t="n">
        <f aca="false">IF(Raw_Data!E23&lt;0,0,Raw_Data!E23)</f>
        <v>299</v>
      </c>
      <c r="F23" s="2" t="str">
        <f aca="false">IF(Raw_Data!E23&lt;0,"Yes","No")</f>
        <v>No</v>
      </c>
      <c r="G23" s="2" t="n">
        <f aca="false">IF(Raw_Data!F23="",ROUND(AVERAGEIFS(Raw_Data!$F$2:$F$176,$C$2:$C$176,C23),2),Raw_Data!F23)</f>
        <v>131.94</v>
      </c>
      <c r="H23" s="2" t="n">
        <f aca="false">Raw_Data!G23</f>
        <v>34</v>
      </c>
      <c r="I23" s="2" t="str">
        <f aca="false">IF(TRIM(Raw_Data!H23)="","Not Assigned",TRIM(Raw_Data!H23))</f>
        <v>Prime Vendors</v>
      </c>
      <c r="J23" s="3" t="n">
        <f aca="false">DATE(VALUE(MID(SUBSTITUTE(Raw_Data!I23,"/","-"),7,4)),VALUE(MID(SUBSTITUTE(Raw_Data!I23,"/","-"),4,2)),VALUE(LEFT(SUBSTITUTE(Raw_Data!I23,"/","-"),2)))</f>
        <v>45868</v>
      </c>
      <c r="K23" s="2" t="str">
        <f aca="false">IF(COUNTIF(Raw_Data!$A$2:A23,Raw_Data!A23)&gt;1,"Duplicate - Remove","Keep")</f>
        <v>Keep</v>
      </c>
      <c r="L23" s="2" t="str">
        <f aca="false">IF(E23&lt;H23,"Reorder Needed","OK")</f>
        <v>OK</v>
      </c>
    </row>
    <row r="24" customFormat="false" ht="15" hidden="false" customHeight="false" outlineLevel="0" collapsed="false">
      <c r="A24" s="2" t="str">
        <f aca="false">Raw_Data!A24</f>
        <v>SKU1106</v>
      </c>
      <c r="B24" s="2" t="str">
        <f aca="false">TRIM(PROPER(Raw_Data!B24))</f>
        <v>Denim Jeans</v>
      </c>
      <c r="C24" s="2" t="str">
        <f aca="false">PROPER(TRIM(Raw_Data!C24))</f>
        <v>Apparel</v>
      </c>
      <c r="D24" s="2" t="str">
        <f aca="false">IF(ISNUMBER(SEARCH("north",Raw_Data!D24)),"WH-North",IF(ISNUMBER(SEARCH("south",Raw_Data!D24)),"WH-South",IF(ISNUMBER(SEARCH("east",Raw_Data!D24)),"WH-East",IF(ISNUMBER(SEARCH("west",Raw_Data!D24)),"WH-West","Unknown"))))</f>
        <v>WH-South</v>
      </c>
      <c r="E24" s="2" t="n">
        <f aca="false">IF(Raw_Data!E24&lt;0,0,Raw_Data!E24)</f>
        <v>237</v>
      </c>
      <c r="F24" s="2" t="str">
        <f aca="false">IF(Raw_Data!E24&lt;0,"Yes","No")</f>
        <v>No</v>
      </c>
      <c r="G24" s="2" t="n">
        <f aca="false">IF(Raw_Data!F24="",ROUND(AVERAGEIFS(Raw_Data!$F$2:$F$176,$C$2:$C$176,C24),2),Raw_Data!F24)</f>
        <v>2931.97</v>
      </c>
      <c r="H24" s="2" t="n">
        <f aca="false">Raw_Data!G24</f>
        <v>20</v>
      </c>
      <c r="I24" s="2" t="str">
        <f aca="false">IF(TRIM(Raw_Data!H24)="","Not Assigned",TRIM(Raw_Data!H24))</f>
        <v>Fine Goods Pvt Ltd</v>
      </c>
      <c r="J24" s="3" t="n">
        <f aca="false">DATE(VALUE(MID(SUBSTITUTE(Raw_Data!I24,"/","-"),7,4)),VALUE(MID(SUBSTITUTE(Raw_Data!I24,"/","-"),4,2)),VALUE(LEFT(SUBSTITUTE(Raw_Data!I24,"/","-"),2)))</f>
        <v>45738</v>
      </c>
      <c r="K24" s="2" t="str">
        <f aca="false">IF(COUNTIF(Raw_Data!$A$2:A24,Raw_Data!A24)&gt;1,"Duplicate - Remove","Keep")</f>
        <v>Keep</v>
      </c>
      <c r="L24" s="2" t="str">
        <f aca="false">IF(E24&lt;H24,"Reorder Needed","OK")</f>
        <v>OK</v>
      </c>
    </row>
    <row r="25" customFormat="false" ht="15" hidden="false" customHeight="false" outlineLevel="0" collapsed="false">
      <c r="A25" s="2" t="str">
        <f aca="false">Raw_Data!A25</f>
        <v>SKU1053</v>
      </c>
      <c r="B25" s="2" t="str">
        <f aca="false">TRIM(PROPER(Raw_Data!B25))</f>
        <v>Room Heater 1000W</v>
      </c>
      <c r="C25" s="2" t="str">
        <f aca="false">PROPER(TRIM(Raw_Data!C25))</f>
        <v>Home Appliances</v>
      </c>
      <c r="D25" s="2" t="str">
        <f aca="false">IF(ISNUMBER(SEARCH("north",Raw_Data!D25)),"WH-North",IF(ISNUMBER(SEARCH("south",Raw_Data!D25)),"WH-South",IF(ISNUMBER(SEARCH("east",Raw_Data!D25)),"WH-East",IF(ISNUMBER(SEARCH("west",Raw_Data!D25)),"WH-West","Unknown"))))</f>
        <v>WH-North</v>
      </c>
      <c r="E25" s="2" t="n">
        <f aca="false">IF(Raw_Data!E25&lt;0,0,Raw_Data!E25)</f>
        <v>63</v>
      </c>
      <c r="F25" s="2" t="str">
        <f aca="false">IF(Raw_Data!E25&lt;0,"Yes","No")</f>
        <v>No</v>
      </c>
      <c r="G25" s="2" t="n">
        <f aca="false">IF(Raw_Data!F25="",ROUND(AVERAGEIFS(Raw_Data!$F$2:$F$176,$C$2:$C$176,C25),2),Raw_Data!F25)</f>
        <v>696.87</v>
      </c>
      <c r="H25" s="2" t="n">
        <f aca="false">Raw_Data!G25</f>
        <v>19</v>
      </c>
      <c r="I25" s="2" t="str">
        <f aca="false">IF(TRIM(Raw_Data!H25)="","Not Assigned",TRIM(Raw_Data!H25))</f>
        <v>Sharma Traders</v>
      </c>
      <c r="J25" s="3" t="n">
        <f aca="false">DATE(VALUE(MID(SUBSTITUTE(Raw_Data!I25,"/","-"),7,4)),VALUE(MID(SUBSTITUTE(Raw_Data!I25,"/","-"),4,2)),VALUE(LEFT(SUBSTITUTE(Raw_Data!I25,"/","-"),2)))</f>
        <v>45806</v>
      </c>
      <c r="K25" s="2" t="str">
        <f aca="false">IF(COUNTIF(Raw_Data!$A$2:A25,Raw_Data!A25)&gt;1,"Duplicate - Remove","Keep")</f>
        <v>Keep</v>
      </c>
      <c r="L25" s="2" t="str">
        <f aca="false">IF(E25&lt;H25,"Reorder Needed","OK")</f>
        <v>OK</v>
      </c>
    </row>
    <row r="26" customFormat="false" ht="15" hidden="false" customHeight="false" outlineLevel="0" collapsed="false">
      <c r="A26" s="2" t="str">
        <f aca="false">Raw_Data!A26</f>
        <v>SKU1099</v>
      </c>
      <c r="B26" s="2" t="str">
        <f aca="false">TRIM(PROPER(Raw_Data!B26))</f>
        <v>Sneakers Unisex</v>
      </c>
      <c r="C26" s="2" t="str">
        <f aca="false">PROPER(TRIM(Raw_Data!C26))</f>
        <v>Footwear</v>
      </c>
      <c r="D26" s="2" t="str">
        <f aca="false">IF(ISNUMBER(SEARCH("north",Raw_Data!D26)),"WH-North",IF(ISNUMBER(SEARCH("south",Raw_Data!D26)),"WH-South",IF(ISNUMBER(SEARCH("east",Raw_Data!D26)),"WH-East",IF(ISNUMBER(SEARCH("west",Raw_Data!D26)),"WH-West","Unknown"))))</f>
        <v>WH-East</v>
      </c>
      <c r="E26" s="2" t="n">
        <f aca="false">IF(Raw_Data!E26&lt;0,0,Raw_Data!E26)</f>
        <v>237</v>
      </c>
      <c r="F26" s="2" t="str">
        <f aca="false">IF(Raw_Data!E26&lt;0,"Yes","No")</f>
        <v>No</v>
      </c>
      <c r="G26" s="2" t="n">
        <f aca="false">IF(Raw_Data!F26="",ROUND(AVERAGEIFS(Raw_Data!$F$2:$F$176,$C$2:$C$176,C26),2),Raw_Data!F26)</f>
        <v>887.82</v>
      </c>
      <c r="H26" s="2" t="n">
        <f aca="false">Raw_Data!G26</f>
        <v>30</v>
      </c>
      <c r="I26" s="2" t="str">
        <f aca="false">IF(TRIM(Raw_Data!H26)="","Not Assigned",TRIM(Raw_Data!H26))</f>
        <v>Nova Wholesale</v>
      </c>
      <c r="J26" s="3" t="n">
        <f aca="false">DATE(VALUE(MID(SUBSTITUTE(Raw_Data!I26,"/","-"),7,4)),VALUE(MID(SUBSTITUTE(Raw_Data!I26,"/","-"),4,2)),VALUE(LEFT(SUBSTITUTE(Raw_Data!I26,"/","-"),2)))</f>
        <v>45663</v>
      </c>
      <c r="K26" s="2" t="str">
        <f aca="false">IF(COUNTIF(Raw_Data!$A$2:A26,Raw_Data!A26)&gt;1,"Duplicate - Remove","Keep")</f>
        <v>Keep</v>
      </c>
      <c r="L26" s="2" t="str">
        <f aca="false">IF(E26&lt;H26,"Reorder Needed","OK")</f>
        <v>OK</v>
      </c>
    </row>
    <row r="27" customFormat="false" ht="15" hidden="false" customHeight="false" outlineLevel="0" collapsed="false">
      <c r="A27" s="2" t="str">
        <f aca="false">Raw_Data!A27</f>
        <v>SKU1081</v>
      </c>
      <c r="B27" s="2" t="str">
        <f aca="false">TRIM(PROPER(Raw_Data!B27))</f>
        <v>Running Shoes Men</v>
      </c>
      <c r="C27" s="2" t="str">
        <f aca="false">PROPER(TRIM(Raw_Data!C27))</f>
        <v>Footwear</v>
      </c>
      <c r="D27" s="2" t="str">
        <f aca="false">IF(ISNUMBER(SEARCH("north",Raw_Data!D27)),"WH-North",IF(ISNUMBER(SEARCH("south",Raw_Data!D27)),"WH-South",IF(ISNUMBER(SEARCH("east",Raw_Data!D27)),"WH-East",IF(ISNUMBER(SEARCH("west",Raw_Data!D27)),"WH-West","Unknown"))))</f>
        <v>WH-North</v>
      </c>
      <c r="E27" s="2" t="n">
        <f aca="false">IF(Raw_Data!E27&lt;0,0,Raw_Data!E27)</f>
        <v>82</v>
      </c>
      <c r="F27" s="2" t="str">
        <f aca="false">IF(Raw_Data!E27&lt;0,"Yes","No")</f>
        <v>No</v>
      </c>
      <c r="G27" s="2" t="n">
        <f aca="false">IF(Raw_Data!F27="",ROUND(AVERAGEIFS(Raw_Data!$F$2:$F$176,$C$2:$C$176,C27),2),Raw_Data!F27)</f>
        <v>196.23</v>
      </c>
      <c r="H27" s="2" t="n">
        <f aca="false">Raw_Data!G27</f>
        <v>26</v>
      </c>
      <c r="I27" s="2" t="str">
        <f aca="false">IF(TRIM(Raw_Data!H27)="","Not Assigned",TRIM(Raw_Data!H27))</f>
        <v>Nova Wholesale</v>
      </c>
      <c r="J27" s="3" t="n">
        <f aca="false">DATE(VALUE(MID(SUBSTITUTE(Raw_Data!I27,"/","-"),7,4)),VALUE(MID(SUBSTITUTE(Raw_Data!I27,"/","-"),4,2)),VALUE(LEFT(SUBSTITUTE(Raw_Data!I27,"/","-"),2)))</f>
        <v>45742</v>
      </c>
      <c r="K27" s="2" t="str">
        <f aca="false">IF(COUNTIF(Raw_Data!$A$2:A27,Raw_Data!A27)&gt;1,"Duplicate - Remove","Keep")</f>
        <v>Keep</v>
      </c>
      <c r="L27" s="2" t="str">
        <f aca="false">IF(E27&lt;H27,"Reorder Needed","OK")</f>
        <v>OK</v>
      </c>
    </row>
    <row r="28" customFormat="false" ht="15" hidden="false" customHeight="false" outlineLevel="0" collapsed="false">
      <c r="A28" s="2" t="str">
        <f aca="false">Raw_Data!A28</f>
        <v>SKU1060</v>
      </c>
      <c r="B28" s="2" t="str">
        <f aca="false">TRIM(PROPER(Raw_Data!B28))</f>
        <v>Iron Box Steam</v>
      </c>
      <c r="C28" s="2" t="str">
        <f aca="false">PROPER(TRIM(Raw_Data!C28))</f>
        <v>Home Appliances</v>
      </c>
      <c r="D28" s="2" t="str">
        <f aca="false">IF(ISNUMBER(SEARCH("north",Raw_Data!D28)),"WH-North",IF(ISNUMBER(SEARCH("south",Raw_Data!D28)),"WH-South",IF(ISNUMBER(SEARCH("east",Raw_Data!D28)),"WH-East",IF(ISNUMBER(SEARCH("west",Raw_Data!D28)),"WH-West","Unknown"))))</f>
        <v>WH-West</v>
      </c>
      <c r="E28" s="2" t="n">
        <f aca="false">IF(Raw_Data!E28&lt;0,0,Raw_Data!E28)</f>
        <v>193</v>
      </c>
      <c r="F28" s="2" t="str">
        <f aca="false">IF(Raw_Data!E28&lt;0,"Yes","No")</f>
        <v>No</v>
      </c>
      <c r="G28" s="2" t="n">
        <f aca="false">IF(Raw_Data!F28="",ROUND(AVERAGEIFS(Raw_Data!$F$2:$F$176,$C$2:$C$176,C28),2),Raw_Data!F28)</f>
        <v>2147.14</v>
      </c>
      <c r="H28" s="2" t="n">
        <f aca="false">Raw_Data!G28</f>
        <v>23</v>
      </c>
      <c r="I28" s="2" t="str">
        <f aca="false">IF(TRIM(Raw_Data!H28)="","Not Assigned",TRIM(Raw_Data!H28))</f>
        <v>Prime Vendors</v>
      </c>
      <c r="J28" s="3" t="n">
        <f aca="false">DATE(VALUE(MID(SUBSTITUTE(Raw_Data!I28,"/","-"),7,4)),VALUE(MID(SUBSTITUTE(Raw_Data!I28,"/","-"),4,2)),VALUE(LEFT(SUBSTITUTE(Raw_Data!I28,"/","-"),2)))</f>
        <v>45798</v>
      </c>
      <c r="K28" s="2" t="str">
        <f aca="false">IF(COUNTIF(Raw_Data!$A$2:A28,Raw_Data!A28)&gt;1,"Duplicate - Remove","Keep")</f>
        <v>Keep</v>
      </c>
      <c r="L28" s="2" t="str">
        <f aca="false">IF(E28&lt;H28,"Reorder Needed","OK")</f>
        <v>OK</v>
      </c>
    </row>
    <row r="29" customFormat="false" ht="15" hidden="false" customHeight="false" outlineLevel="0" collapsed="false">
      <c r="A29" s="2" t="str">
        <f aca="false">Raw_Data!A29</f>
        <v>SKU1109</v>
      </c>
      <c r="B29" s="2" t="str">
        <f aca="false">TRIM(PROPER(Raw_Data!B29))</f>
        <v>Formal Shirt</v>
      </c>
      <c r="C29" s="2" t="str">
        <f aca="false">PROPER(TRIM(Raw_Data!C29))</f>
        <v>Apparel</v>
      </c>
      <c r="D29" s="2" t="str">
        <f aca="false">IF(ISNUMBER(SEARCH("north",Raw_Data!D29)),"WH-North",IF(ISNUMBER(SEARCH("south",Raw_Data!D29)),"WH-South",IF(ISNUMBER(SEARCH("east",Raw_Data!D29)),"WH-East",IF(ISNUMBER(SEARCH("west",Raw_Data!D29)),"WH-West","Unknown"))))</f>
        <v>WH-North</v>
      </c>
      <c r="E29" s="2" t="n">
        <f aca="false">IF(Raw_Data!E29&lt;0,0,Raw_Data!E29)</f>
        <v>113</v>
      </c>
      <c r="F29" s="2" t="str">
        <f aca="false">IF(Raw_Data!E29&lt;0,"Yes","No")</f>
        <v>No</v>
      </c>
      <c r="G29" s="2" t="n">
        <f aca="false">IF(Raw_Data!F29="",ROUND(AVERAGEIFS(Raw_Data!$F$2:$F$176,$C$2:$C$176,C29),2),Raw_Data!F29)</f>
        <v>1954.65</v>
      </c>
      <c r="H29" s="2" t="n">
        <f aca="false">Raw_Data!G29</f>
        <v>37</v>
      </c>
      <c r="I29" s="2" t="str">
        <f aca="false">IF(TRIM(Raw_Data!H29)="","Not Assigned",TRIM(Raw_Data!H29))</f>
        <v>Sharma Traders</v>
      </c>
      <c r="J29" s="3" t="n">
        <f aca="false">DATE(VALUE(MID(SUBSTITUTE(Raw_Data!I29,"/","-"),7,4)),VALUE(MID(SUBSTITUTE(Raw_Data!I29,"/","-"),4,2)),VALUE(LEFT(SUBSTITUTE(Raw_Data!I29,"/","-"),2)))</f>
        <v>45747</v>
      </c>
      <c r="K29" s="2" t="str">
        <f aca="false">IF(COUNTIF(Raw_Data!$A$2:A29,Raw_Data!A29)&gt;1,"Duplicate - Remove","Keep")</f>
        <v>Keep</v>
      </c>
      <c r="L29" s="2" t="str">
        <f aca="false">IF(E29&lt;H29,"Reorder Needed","OK")</f>
        <v>OK</v>
      </c>
    </row>
    <row r="30" customFormat="false" ht="15" hidden="false" customHeight="false" outlineLevel="0" collapsed="false">
      <c r="A30" s="2" t="str">
        <f aca="false">Raw_Data!A30</f>
        <v>SKU1085</v>
      </c>
      <c r="B30" s="2" t="str">
        <f aca="false">TRIM(PROPER(Raw_Data!B30))</f>
        <v>Sandals Women</v>
      </c>
      <c r="C30" s="2" t="str">
        <f aca="false">PROPER(TRIM(Raw_Data!C30))</f>
        <v>Footwear</v>
      </c>
      <c r="D30" s="2" t="str">
        <f aca="false">IF(ISNUMBER(SEARCH("north",Raw_Data!D30)),"WH-North",IF(ISNUMBER(SEARCH("south",Raw_Data!D30)),"WH-South",IF(ISNUMBER(SEARCH("east",Raw_Data!D30)),"WH-East",IF(ISNUMBER(SEARCH("west",Raw_Data!D30)),"WH-West","Unknown"))))</f>
        <v>WH-North</v>
      </c>
      <c r="E30" s="2" t="n">
        <f aca="false">IF(Raw_Data!E30&lt;0,0,Raw_Data!E30)</f>
        <v>33</v>
      </c>
      <c r="F30" s="2" t="str">
        <f aca="false">IF(Raw_Data!E30&lt;0,"Yes","No")</f>
        <v>No</v>
      </c>
      <c r="G30" s="2" t="n">
        <f aca="false">IF(Raw_Data!F30="",ROUND(AVERAGEIFS(Raw_Data!$F$2:$F$176,$C$2:$C$176,C30),2),Raw_Data!F30)</f>
        <v>1530.62</v>
      </c>
      <c r="H30" s="2" t="n">
        <f aca="false">Raw_Data!G30</f>
        <v>14</v>
      </c>
      <c r="I30" s="2" t="str">
        <f aca="false">IF(TRIM(Raw_Data!H30)="","Not Assigned",TRIM(Raw_Data!H30))</f>
        <v>Global Supply Co</v>
      </c>
      <c r="J30" s="3" t="n">
        <f aca="false">DATE(VALUE(MID(SUBSTITUTE(Raw_Data!I30,"/","-"),7,4)),VALUE(MID(SUBSTITUTE(Raw_Data!I30,"/","-"),4,2)),VALUE(LEFT(SUBSTITUTE(Raw_Data!I30,"/","-"),2)))</f>
        <v>45793</v>
      </c>
      <c r="K30" s="2" t="str">
        <f aca="false">IF(COUNTIF(Raw_Data!$A$2:A30,Raw_Data!A30)&gt;1,"Duplicate - Remove","Keep")</f>
        <v>Keep</v>
      </c>
      <c r="L30" s="2" t="str">
        <f aca="false">IF(E30&lt;H30,"Reorder Needed","OK")</f>
        <v>OK</v>
      </c>
    </row>
    <row r="31" customFormat="false" ht="15" hidden="false" customHeight="false" outlineLevel="0" collapsed="false">
      <c r="A31" s="2" t="str">
        <f aca="false">Raw_Data!A31</f>
        <v>SKU1008</v>
      </c>
      <c r="B31" s="2" t="str">
        <f aca="false">TRIM(PROPER(Raw_Data!B31))</f>
        <v>Usb Cable Type-C</v>
      </c>
      <c r="C31" s="2" t="str">
        <f aca="false">PROPER(TRIM(Raw_Data!C31))</f>
        <v>Electronics</v>
      </c>
      <c r="D31" s="2" t="str">
        <f aca="false">IF(ISNUMBER(SEARCH("north",Raw_Data!D31)),"WH-North",IF(ISNUMBER(SEARCH("south",Raw_Data!D31)),"WH-South",IF(ISNUMBER(SEARCH("east",Raw_Data!D31)),"WH-East",IF(ISNUMBER(SEARCH("west",Raw_Data!D31)),"WH-West","Unknown"))))</f>
        <v>WH-West</v>
      </c>
      <c r="E31" s="2" t="n">
        <f aca="false">IF(Raw_Data!E31&lt;0,0,Raw_Data!E31)</f>
        <v>166</v>
      </c>
      <c r="F31" s="2" t="str">
        <f aca="false">IF(Raw_Data!E31&lt;0,"Yes","No")</f>
        <v>No</v>
      </c>
      <c r="G31" s="2" t="n">
        <f aca="false">IF(Raw_Data!F31="",ROUND(AVERAGEIFS(Raw_Data!$F$2:$F$176,$C$2:$C$176,C31),2),Raw_Data!F31)</f>
        <v>2021.96</v>
      </c>
      <c r="H31" s="2" t="n">
        <f aca="false">Raw_Data!G31</f>
        <v>38</v>
      </c>
      <c r="I31" s="2" t="str">
        <f aca="false">IF(TRIM(Raw_Data!H31)="","Not Assigned",TRIM(Raw_Data!H31))</f>
        <v>Prime Vendors</v>
      </c>
      <c r="J31" s="3" t="n">
        <f aca="false">DATE(VALUE(MID(SUBSTITUTE(Raw_Data!I31,"/","-"),7,4)),VALUE(MID(SUBSTITUTE(Raw_Data!I31,"/","-"),4,2)),VALUE(LEFT(SUBSTITUTE(Raw_Data!I31,"/","-"),2)))</f>
        <v>45775</v>
      </c>
      <c r="K31" s="2" t="str">
        <f aca="false">IF(COUNTIF(Raw_Data!$A$2:A31,Raw_Data!A31)&gt;1,"Duplicate - Remove","Keep")</f>
        <v>Keep</v>
      </c>
      <c r="L31" s="2" t="str">
        <f aca="false">IF(E31&lt;H31,"Reorder Needed","OK")</f>
        <v>OK</v>
      </c>
    </row>
    <row r="32" customFormat="false" ht="15" hidden="false" customHeight="false" outlineLevel="0" collapsed="false">
      <c r="A32" s="2" t="str">
        <f aca="false">Raw_Data!A32</f>
        <v>SKU1100</v>
      </c>
      <c r="B32" s="2" t="str">
        <f aca="false">TRIM(PROPER(Raw_Data!B32))</f>
        <v>Sneakers Unisex</v>
      </c>
      <c r="C32" s="2" t="str">
        <f aca="false">PROPER(TRIM(Raw_Data!C32))</f>
        <v>Footwear</v>
      </c>
      <c r="D32" s="2" t="str">
        <f aca="false">IF(ISNUMBER(SEARCH("north",Raw_Data!D32)),"WH-North",IF(ISNUMBER(SEARCH("south",Raw_Data!D32)),"WH-South",IF(ISNUMBER(SEARCH("east",Raw_Data!D32)),"WH-East",IF(ISNUMBER(SEARCH("west",Raw_Data!D32)),"WH-West","Unknown"))))</f>
        <v>WH-West</v>
      </c>
      <c r="E32" s="2" t="n">
        <f aca="false">IF(Raw_Data!E32&lt;0,0,Raw_Data!E32)</f>
        <v>288</v>
      </c>
      <c r="F32" s="2" t="str">
        <f aca="false">IF(Raw_Data!E32&lt;0,"Yes","No")</f>
        <v>No</v>
      </c>
      <c r="G32" s="2" t="n">
        <f aca="false">IF(Raw_Data!F32="",ROUND(AVERAGEIFS(Raw_Data!$F$2:$F$176,$C$2:$C$176,C32),2),Raw_Data!F32)</f>
        <v>903.01</v>
      </c>
      <c r="H32" s="2" t="n">
        <f aca="false">Raw_Data!G32</f>
        <v>37</v>
      </c>
      <c r="I32" s="2" t="str">
        <f aca="false">IF(TRIM(Raw_Data!H32)="","Not Assigned",TRIM(Raw_Data!H32))</f>
        <v>Global Supply Co</v>
      </c>
      <c r="J32" s="3" t="n">
        <f aca="false">DATE(VALUE(MID(SUBSTITUTE(Raw_Data!I32,"/","-"),7,4)),VALUE(MID(SUBSTITUTE(Raw_Data!I32,"/","-"),4,2)),VALUE(LEFT(SUBSTITUTE(Raw_Data!I32,"/","-"),2)))</f>
        <v>45742</v>
      </c>
      <c r="K32" s="2" t="str">
        <f aca="false">IF(COUNTIF(Raw_Data!$A$2:A32,Raw_Data!A32)&gt;1,"Duplicate - Remove","Keep")</f>
        <v>Keep</v>
      </c>
      <c r="L32" s="2" t="str">
        <f aca="false">IF(E32&lt;H32,"Reorder Needed","OK")</f>
        <v>OK</v>
      </c>
    </row>
    <row r="33" customFormat="false" ht="15" hidden="false" customHeight="false" outlineLevel="0" collapsed="false">
      <c r="A33" s="2" t="str">
        <f aca="false">Raw_Data!A33</f>
        <v>SKU1108</v>
      </c>
      <c r="B33" s="2" t="str">
        <f aca="false">TRIM(PROPER(Raw_Data!B33))</f>
        <v>Denim Jeans</v>
      </c>
      <c r="C33" s="2" t="str">
        <f aca="false">PROPER(TRIM(Raw_Data!C33))</f>
        <v>Apparel</v>
      </c>
      <c r="D33" s="2" t="str">
        <f aca="false">IF(ISNUMBER(SEARCH("north",Raw_Data!D33)),"WH-North",IF(ISNUMBER(SEARCH("south",Raw_Data!D33)),"WH-South",IF(ISNUMBER(SEARCH("east",Raw_Data!D33)),"WH-East",IF(ISNUMBER(SEARCH("west",Raw_Data!D33)),"WH-West","Unknown"))))</f>
        <v>WH-West</v>
      </c>
      <c r="E33" s="2" t="n">
        <f aca="false">IF(Raw_Data!E33&lt;0,0,Raw_Data!E33)</f>
        <v>67</v>
      </c>
      <c r="F33" s="2" t="str">
        <f aca="false">IF(Raw_Data!E33&lt;0,"Yes","No")</f>
        <v>No</v>
      </c>
      <c r="G33" s="2" t="n">
        <f aca="false">IF(Raw_Data!F33="",ROUND(AVERAGEIFS(Raw_Data!$F$2:$F$176,$C$2:$C$176,C33),2),Raw_Data!F33)</f>
        <v>3500.75</v>
      </c>
      <c r="H33" s="2" t="n">
        <f aca="false">Raw_Data!G33</f>
        <v>40</v>
      </c>
      <c r="I33" s="2" t="str">
        <f aca="false">IF(TRIM(Raw_Data!H33)="","Not Assigned",TRIM(Raw_Data!H33))</f>
        <v>Fine Goods Pvt Ltd</v>
      </c>
      <c r="J33" s="3" t="n">
        <f aca="false">DATE(VALUE(MID(SUBSTITUTE(Raw_Data!I33,"/","-"),7,4)),VALUE(MID(SUBSTITUTE(Raw_Data!I33,"/","-"),4,2)),VALUE(LEFT(SUBSTITUTE(Raw_Data!I33,"/","-"),2)))</f>
        <v>45880</v>
      </c>
      <c r="K33" s="2" t="str">
        <f aca="false">IF(COUNTIF(Raw_Data!$A$2:A33,Raw_Data!A33)&gt;1,"Duplicate - Remove","Keep")</f>
        <v>Duplicate - Remove</v>
      </c>
      <c r="L33" s="2" t="str">
        <f aca="false">IF(E33&lt;H33,"Reorder Needed","OK")</f>
        <v>OK</v>
      </c>
    </row>
    <row r="34" customFormat="false" ht="15" hidden="false" customHeight="false" outlineLevel="0" collapsed="false">
      <c r="A34" s="2" t="str">
        <f aca="false">Raw_Data!A34</f>
        <v>SKU1017</v>
      </c>
      <c r="B34" s="2" t="str">
        <f aca="false">TRIM(PROPER(Raw_Data!B34))</f>
        <v>Wall Charger 20W</v>
      </c>
      <c r="C34" s="2" t="str">
        <f aca="false">PROPER(TRIM(Raw_Data!C34))</f>
        <v>Electronics</v>
      </c>
      <c r="D34" s="2" t="str">
        <f aca="false">IF(ISNUMBER(SEARCH("north",Raw_Data!D34)),"WH-North",IF(ISNUMBER(SEARCH("south",Raw_Data!D34)),"WH-South",IF(ISNUMBER(SEARCH("east",Raw_Data!D34)),"WH-East",IF(ISNUMBER(SEARCH("west",Raw_Data!D34)),"WH-West","Unknown"))))</f>
        <v>WH-North</v>
      </c>
      <c r="E34" s="2" t="n">
        <f aca="false">IF(Raw_Data!E34&lt;0,0,Raw_Data!E34)</f>
        <v>300</v>
      </c>
      <c r="F34" s="2" t="str">
        <f aca="false">IF(Raw_Data!E34&lt;0,"Yes","No")</f>
        <v>No</v>
      </c>
      <c r="G34" s="2" t="n">
        <f aca="false">IF(Raw_Data!F34="",ROUND(AVERAGEIFS(Raw_Data!$F$2:$F$176,$C$2:$C$176,C34),2),Raw_Data!F34)</f>
        <v>3149.25</v>
      </c>
      <c r="H34" s="2" t="n">
        <f aca="false">Raw_Data!G34</f>
        <v>35</v>
      </c>
      <c r="I34" s="2" t="str">
        <f aca="false">IF(TRIM(Raw_Data!H34)="","Not Assigned",TRIM(Raw_Data!H34))</f>
        <v>Fine Goods Pvt Ltd</v>
      </c>
      <c r="J34" s="3" t="n">
        <f aca="false">DATE(VALUE(MID(SUBSTITUTE(Raw_Data!I34,"/","-"),7,4)),VALUE(MID(SUBSTITUTE(Raw_Data!I34,"/","-"),4,2)),VALUE(LEFT(SUBSTITUTE(Raw_Data!I34,"/","-"),2)))</f>
        <v>45706</v>
      </c>
      <c r="K34" s="2" t="str">
        <f aca="false">IF(COUNTIF(Raw_Data!$A$2:A34,Raw_Data!A34)&gt;1,"Duplicate - Remove","Keep")</f>
        <v>Keep</v>
      </c>
      <c r="L34" s="2" t="str">
        <f aca="false">IF(E34&lt;H34,"Reorder Needed","OK")</f>
        <v>OK</v>
      </c>
    </row>
    <row r="35" customFormat="false" ht="15" hidden="false" customHeight="false" outlineLevel="0" collapsed="false">
      <c r="A35" s="2" t="str">
        <f aca="false">Raw_Data!A35</f>
        <v>SKU1023</v>
      </c>
      <c r="B35" s="2" t="str">
        <f aca="false">TRIM(PROPER(Raw_Data!B35))</f>
        <v>Gel Pen Blue</v>
      </c>
      <c r="C35" s="2" t="str">
        <f aca="false">PROPER(TRIM(Raw_Data!C35))</f>
        <v>Stationery</v>
      </c>
      <c r="D35" s="2" t="str">
        <f aca="false">IF(ISNUMBER(SEARCH("north",Raw_Data!D35)),"WH-North",IF(ISNUMBER(SEARCH("south",Raw_Data!D35)),"WH-South",IF(ISNUMBER(SEARCH("east",Raw_Data!D35)),"WH-East",IF(ISNUMBER(SEARCH("west",Raw_Data!D35)),"WH-West","Unknown"))))</f>
        <v>WH-East</v>
      </c>
      <c r="E35" s="2" t="n">
        <f aca="false">IF(Raw_Data!E35&lt;0,0,Raw_Data!E35)</f>
        <v>39</v>
      </c>
      <c r="F35" s="2" t="str">
        <f aca="false">IF(Raw_Data!E35&lt;0,"Yes","No")</f>
        <v>No</v>
      </c>
      <c r="G35" s="2" t="n">
        <f aca="false">IF(Raw_Data!F35="",ROUND(AVERAGEIFS(Raw_Data!$F$2:$F$176,$C$2:$C$176,C35),2),Raw_Data!F35)</f>
        <v>979.06</v>
      </c>
      <c r="H35" s="2" t="n">
        <f aca="false">Raw_Data!G35</f>
        <v>13</v>
      </c>
      <c r="I35" s="2" t="str">
        <f aca="false">IF(TRIM(Raw_Data!H35)="","Not Assigned",TRIM(Raw_Data!H35))</f>
        <v>Nova Wholesale</v>
      </c>
      <c r="J35" s="3" t="n">
        <f aca="false">DATE(VALUE(MID(SUBSTITUTE(Raw_Data!I35,"/","-"),7,4)),VALUE(MID(SUBSTITUTE(Raw_Data!I35,"/","-"),4,2)),VALUE(LEFT(SUBSTITUTE(Raw_Data!I35,"/","-"),2)))</f>
        <v>45721</v>
      </c>
      <c r="K35" s="2" t="str">
        <f aca="false">IF(COUNTIF(Raw_Data!$A$2:A35,Raw_Data!A35)&gt;1,"Duplicate - Remove","Keep")</f>
        <v>Keep</v>
      </c>
      <c r="L35" s="2" t="str">
        <f aca="false">IF(E35&lt;H35,"Reorder Needed","OK")</f>
        <v>OK</v>
      </c>
    </row>
    <row r="36" customFormat="false" ht="15" hidden="false" customHeight="false" outlineLevel="0" collapsed="false">
      <c r="A36" s="2" t="str">
        <f aca="false">Raw_Data!A36</f>
        <v>SKU1136</v>
      </c>
      <c r="B36" s="2" t="str">
        <f aca="false">TRIM(PROPER(Raw_Data!B36))</f>
        <v>Water Bottle 1L</v>
      </c>
      <c r="C36" s="2" t="str">
        <f aca="false">PROPER(TRIM(Raw_Data!C36))</f>
        <v>Kitchenware</v>
      </c>
      <c r="D36" s="2" t="str">
        <f aca="false">IF(ISNUMBER(SEARCH("north",Raw_Data!D36)),"WH-North",IF(ISNUMBER(SEARCH("south",Raw_Data!D36)),"WH-South",IF(ISNUMBER(SEARCH("east",Raw_Data!D36)),"WH-East",IF(ISNUMBER(SEARCH("west",Raw_Data!D36)),"WH-West","Unknown"))))</f>
        <v>WH-West</v>
      </c>
      <c r="E36" s="2" t="n">
        <f aca="false">IF(Raw_Data!E36&lt;0,0,Raw_Data!E36)</f>
        <v>176</v>
      </c>
      <c r="F36" s="2" t="str">
        <f aca="false">IF(Raw_Data!E36&lt;0,"Yes","No")</f>
        <v>No</v>
      </c>
      <c r="G36" s="2" t="n">
        <f aca="false">IF(Raw_Data!F36="",ROUND(AVERAGEIFS(Raw_Data!$F$2:$F$176,$C$2:$C$176,C36),2),Raw_Data!F36)</f>
        <v>2260.81</v>
      </c>
      <c r="H36" s="2" t="n">
        <f aca="false">Raw_Data!G36</f>
        <v>19</v>
      </c>
      <c r="I36" s="2" t="str">
        <f aca="false">IF(TRIM(Raw_Data!H36)="","Not Assigned",TRIM(Raw_Data!H36))</f>
        <v>Fine Goods Pvt Ltd</v>
      </c>
      <c r="J36" s="3" t="n">
        <f aca="false">DATE(VALUE(MID(SUBSTITUTE(Raw_Data!I36,"/","-"),7,4)),VALUE(MID(SUBSTITUTE(Raw_Data!I36,"/","-"),4,2)),VALUE(LEFT(SUBSTITUTE(Raw_Data!I36,"/","-"),2)))</f>
        <v>45836</v>
      </c>
      <c r="K36" s="2" t="str">
        <f aca="false">IF(COUNTIF(Raw_Data!$A$2:A36,Raw_Data!A36)&gt;1,"Duplicate - Remove","Keep")</f>
        <v>Keep</v>
      </c>
      <c r="L36" s="2" t="str">
        <f aca="false">IF(E36&lt;H36,"Reorder Needed","OK")</f>
        <v>OK</v>
      </c>
    </row>
    <row r="37" customFormat="false" ht="15" hidden="false" customHeight="false" outlineLevel="0" collapsed="false">
      <c r="A37" s="2" t="str">
        <f aca="false">Raw_Data!A37</f>
        <v>SKU1151</v>
      </c>
      <c r="B37" s="2" t="str">
        <f aca="false">TRIM(PROPER(Raw_Data!B37))</f>
        <v>Puzzle 100Pc</v>
      </c>
      <c r="C37" s="2" t="str">
        <f aca="false">PROPER(TRIM(Raw_Data!C37))</f>
        <v>Toys</v>
      </c>
      <c r="D37" s="2" t="str">
        <f aca="false">IF(ISNUMBER(SEARCH("north",Raw_Data!D37)),"WH-North",IF(ISNUMBER(SEARCH("south",Raw_Data!D37)),"WH-South",IF(ISNUMBER(SEARCH("east",Raw_Data!D37)),"WH-East",IF(ISNUMBER(SEARCH("west",Raw_Data!D37)),"WH-West","Unknown"))))</f>
        <v>WH-East</v>
      </c>
      <c r="E37" s="2" t="n">
        <f aca="false">IF(Raw_Data!E37&lt;0,0,Raw_Data!E37)</f>
        <v>232</v>
      </c>
      <c r="F37" s="2" t="str">
        <f aca="false">IF(Raw_Data!E37&lt;0,"Yes","No")</f>
        <v>No</v>
      </c>
      <c r="G37" s="2" t="n">
        <f aca="false">IF(Raw_Data!F37="",ROUND(AVERAGEIFS(Raw_Data!$F$2:$F$176,$C$2:$C$176,C37),2),Raw_Data!F37)</f>
        <v>3251.53</v>
      </c>
      <c r="H37" s="2" t="n">
        <f aca="false">Raw_Data!G37</f>
        <v>40</v>
      </c>
      <c r="I37" s="2" t="str">
        <f aca="false">IF(TRIM(Raw_Data!H37)="","Not Assigned",TRIM(Raw_Data!H37))</f>
        <v>Metro Distributors</v>
      </c>
      <c r="J37" s="3" t="n">
        <f aca="false">DATE(VALUE(MID(SUBSTITUTE(Raw_Data!I37,"/","-"),7,4)),VALUE(MID(SUBSTITUTE(Raw_Data!I37,"/","-"),4,2)),VALUE(LEFT(SUBSTITUTE(Raw_Data!I37,"/","-"),2)))</f>
        <v>45828</v>
      </c>
      <c r="K37" s="2" t="str">
        <f aca="false">IF(COUNTIF(Raw_Data!$A$2:A37,Raw_Data!A37)&gt;1,"Duplicate - Remove","Keep")</f>
        <v>Keep</v>
      </c>
      <c r="L37" s="2" t="str">
        <f aca="false">IF(E37&lt;H37,"Reorder Needed","OK")</f>
        <v>OK</v>
      </c>
    </row>
    <row r="38" customFormat="false" ht="15" hidden="false" customHeight="false" outlineLevel="0" collapsed="false">
      <c r="A38" s="2" t="str">
        <f aca="false">Raw_Data!A38</f>
        <v>SKU1080</v>
      </c>
      <c r="B38" s="2" t="str">
        <f aca="false">TRIM(PROPER(Raw_Data!B38))</f>
        <v>Storage Rack</v>
      </c>
      <c r="C38" s="2" t="str">
        <f aca="false">PROPER(TRIM(Raw_Data!C38))</f>
        <v>Furniture</v>
      </c>
      <c r="D38" s="2" t="str">
        <f aca="false">IF(ISNUMBER(SEARCH("north",Raw_Data!D38)),"WH-North",IF(ISNUMBER(SEARCH("south",Raw_Data!D38)),"WH-South",IF(ISNUMBER(SEARCH("east",Raw_Data!D38)),"WH-East",IF(ISNUMBER(SEARCH("west",Raw_Data!D38)),"WH-West","Unknown"))))</f>
        <v>WH-West</v>
      </c>
      <c r="E38" s="2" t="n">
        <f aca="false">IF(Raw_Data!E38&lt;0,0,Raw_Data!E38)</f>
        <v>127</v>
      </c>
      <c r="F38" s="2" t="str">
        <f aca="false">IF(Raw_Data!E38&lt;0,"Yes","No")</f>
        <v>No</v>
      </c>
      <c r="G38" s="2" t="n">
        <f aca="false">IF(Raw_Data!F38="",ROUND(AVERAGEIFS(Raw_Data!$F$2:$F$176,$C$2:$C$176,C38),2),Raw_Data!F38)</f>
        <v>972.57</v>
      </c>
      <c r="H38" s="2" t="n">
        <f aca="false">Raw_Data!G38</f>
        <v>34</v>
      </c>
      <c r="I38" s="2" t="str">
        <f aca="false">IF(TRIM(Raw_Data!H38)="","Not Assigned",TRIM(Raw_Data!H38))</f>
        <v>Fine Goods Pvt Ltd</v>
      </c>
      <c r="J38" s="3" t="n">
        <f aca="false">DATE(VALUE(MID(SUBSTITUTE(Raw_Data!I38,"/","-"),7,4)),VALUE(MID(SUBSTITUTE(Raw_Data!I38,"/","-"),4,2)),VALUE(LEFT(SUBSTITUTE(Raw_Data!I38,"/","-"),2)))</f>
        <v>45669</v>
      </c>
      <c r="K38" s="2" t="str">
        <f aca="false">IF(COUNTIF(Raw_Data!$A$2:A38,Raw_Data!A38)&gt;1,"Duplicate - Remove","Keep")</f>
        <v>Keep</v>
      </c>
      <c r="L38" s="2" t="str">
        <f aca="false">IF(E38&lt;H38,"Reorder Needed","OK")</f>
        <v>OK</v>
      </c>
    </row>
    <row r="39" customFormat="false" ht="15" hidden="false" customHeight="false" outlineLevel="0" collapsed="false">
      <c r="A39" s="2" t="str">
        <f aca="false">Raw_Data!A39</f>
        <v>SKU1146</v>
      </c>
      <c r="B39" s="2" t="str">
        <f aca="false">TRIM(PROPER(Raw_Data!B39))</f>
        <v>Remote Car</v>
      </c>
      <c r="C39" s="2" t="str">
        <f aca="false">PROPER(TRIM(Raw_Data!C39))</f>
        <v>Toys</v>
      </c>
      <c r="D39" s="2" t="str">
        <f aca="false">IF(ISNUMBER(SEARCH("north",Raw_Data!D39)),"WH-North",IF(ISNUMBER(SEARCH("south",Raw_Data!D39)),"WH-South",IF(ISNUMBER(SEARCH("east",Raw_Data!D39)),"WH-East",IF(ISNUMBER(SEARCH("west",Raw_Data!D39)),"WH-West","Unknown"))))</f>
        <v>WH-South</v>
      </c>
      <c r="E39" s="2" t="n">
        <f aca="false">IF(Raw_Data!E39&lt;0,0,Raw_Data!E39)</f>
        <v>184</v>
      </c>
      <c r="F39" s="2" t="str">
        <f aca="false">IF(Raw_Data!E39&lt;0,"Yes","No")</f>
        <v>No</v>
      </c>
      <c r="G39" s="2" t="n">
        <f aca="false">IF(Raw_Data!F39="",ROUND(AVERAGEIFS(Raw_Data!$F$2:$F$176,$C$2:$C$176,C39),2),Raw_Data!F39)</f>
        <v>2920.92</v>
      </c>
      <c r="H39" s="2" t="n">
        <f aca="false">Raw_Data!G39</f>
        <v>39</v>
      </c>
      <c r="I39" s="2" t="str">
        <f aca="false">IF(TRIM(Raw_Data!H39)="","Not Assigned",TRIM(Raw_Data!H39))</f>
        <v>Metro Distributors</v>
      </c>
      <c r="J39" s="3" t="n">
        <f aca="false">DATE(VALUE(MID(SUBSTITUTE(Raw_Data!I39,"/","-"),7,4)),VALUE(MID(SUBSTITUTE(Raw_Data!I39,"/","-"),4,2)),VALUE(LEFT(SUBSTITUTE(Raw_Data!I39,"/","-"),2)))</f>
        <v>45815</v>
      </c>
      <c r="K39" s="2" t="str">
        <f aca="false">IF(COUNTIF(Raw_Data!$A$2:A39,Raw_Data!A39)&gt;1,"Duplicate - Remove","Keep")</f>
        <v>Keep</v>
      </c>
      <c r="L39" s="2" t="str">
        <f aca="false">IF(E39&lt;H39,"Reorder Needed","OK")</f>
        <v>OK</v>
      </c>
    </row>
    <row r="40" customFormat="false" ht="15" hidden="false" customHeight="false" outlineLevel="0" collapsed="false">
      <c r="A40" s="2" t="str">
        <f aca="false">Raw_Data!A40</f>
        <v>SKU1088</v>
      </c>
      <c r="B40" s="2" t="str">
        <f aca="false">TRIM(PROPER(Raw_Data!B40))</f>
        <v>Sandals Women</v>
      </c>
      <c r="C40" s="2" t="str">
        <f aca="false">PROPER(TRIM(Raw_Data!C40))</f>
        <v>Footwear</v>
      </c>
      <c r="D40" s="2" t="str">
        <f aca="false">IF(ISNUMBER(SEARCH("north",Raw_Data!D40)),"WH-North",IF(ISNUMBER(SEARCH("south",Raw_Data!D40)),"WH-South",IF(ISNUMBER(SEARCH("east",Raw_Data!D40)),"WH-East",IF(ISNUMBER(SEARCH("west",Raw_Data!D40)),"WH-West","Unknown"))))</f>
        <v>WH-West</v>
      </c>
      <c r="E40" s="2" t="n">
        <f aca="false">IF(Raw_Data!E40&lt;0,0,Raw_Data!E40)</f>
        <v>252</v>
      </c>
      <c r="F40" s="2" t="str">
        <f aca="false">IF(Raw_Data!E40&lt;0,"Yes","No")</f>
        <v>No</v>
      </c>
      <c r="G40" s="2" t="n">
        <f aca="false">IF(Raw_Data!F40="",ROUND(AVERAGEIFS(Raw_Data!$F$2:$F$176,$C$2:$C$176,C40),2),Raw_Data!F40)</f>
        <v>1556.39</v>
      </c>
      <c r="H40" s="2" t="n">
        <f aca="false">Raw_Data!G40</f>
        <v>21</v>
      </c>
      <c r="I40" s="2" t="str">
        <f aca="false">IF(TRIM(Raw_Data!H40)="","Not Assigned",TRIM(Raw_Data!H40))</f>
        <v>Nova Wholesale</v>
      </c>
      <c r="J40" s="3" t="n">
        <f aca="false">DATE(VALUE(MID(SUBSTITUTE(Raw_Data!I40,"/","-"),7,4)),VALUE(MID(SUBSTITUTE(Raw_Data!I40,"/","-"),4,2)),VALUE(LEFT(SUBSTITUTE(Raw_Data!I40,"/","-"),2)))</f>
        <v>45733</v>
      </c>
      <c r="K40" s="2" t="str">
        <f aca="false">IF(COUNTIF(Raw_Data!$A$2:A40,Raw_Data!A40)&gt;1,"Duplicate - Remove","Keep")</f>
        <v>Keep</v>
      </c>
      <c r="L40" s="2" t="str">
        <f aca="false">IF(E40&lt;H40,"Reorder Needed","OK")</f>
        <v>OK</v>
      </c>
    </row>
    <row r="41" customFormat="false" ht="15" hidden="false" customHeight="false" outlineLevel="0" collapsed="false">
      <c r="A41" s="2" t="str">
        <f aca="false">Raw_Data!A41</f>
        <v>SKU1098</v>
      </c>
      <c r="B41" s="2" t="str">
        <f aca="false">TRIM(PROPER(Raw_Data!B41))</f>
        <v>Sneakers Unisex</v>
      </c>
      <c r="C41" s="2" t="str">
        <f aca="false">PROPER(TRIM(Raw_Data!C41))</f>
        <v>Footwear</v>
      </c>
      <c r="D41" s="2" t="str">
        <f aca="false">IF(ISNUMBER(SEARCH("north",Raw_Data!D41)),"WH-North",IF(ISNUMBER(SEARCH("south",Raw_Data!D41)),"WH-South",IF(ISNUMBER(SEARCH("east",Raw_Data!D41)),"WH-East",IF(ISNUMBER(SEARCH("west",Raw_Data!D41)),"WH-West","Unknown"))))</f>
        <v>WH-South</v>
      </c>
      <c r="E41" s="2" t="n">
        <f aca="false">IF(Raw_Data!E41&lt;0,0,Raw_Data!E41)</f>
        <v>55</v>
      </c>
      <c r="F41" s="2" t="str">
        <f aca="false">IF(Raw_Data!E41&lt;0,"Yes","No")</f>
        <v>No</v>
      </c>
      <c r="G41" s="2" t="n">
        <f aca="false">IF(Raw_Data!F41="",ROUND(AVERAGEIFS(Raw_Data!$F$2:$F$176,$C$2:$C$176,C41),2),Raw_Data!F41)</f>
        <v>1500.97</v>
      </c>
      <c r="H41" s="2" t="n">
        <f aca="false">Raw_Data!G41</f>
        <v>38</v>
      </c>
      <c r="I41" s="2" t="str">
        <f aca="false">IF(TRIM(Raw_Data!H41)="","Not Assigned",TRIM(Raw_Data!H41))</f>
        <v>Prime Vendors</v>
      </c>
      <c r="J41" s="3" t="n">
        <f aca="false">DATE(VALUE(MID(SUBSTITUTE(Raw_Data!I41,"/","-"),7,4)),VALUE(MID(SUBSTITUTE(Raw_Data!I41,"/","-"),4,2)),VALUE(LEFT(SUBSTITUTE(Raw_Data!I41,"/","-"),2)))</f>
        <v>45749</v>
      </c>
      <c r="K41" s="2" t="str">
        <f aca="false">IF(COUNTIF(Raw_Data!$A$2:A41,Raw_Data!A41)&gt;1,"Duplicate - Remove","Keep")</f>
        <v>Keep</v>
      </c>
      <c r="L41" s="2" t="str">
        <f aca="false">IF(E41&lt;H41,"Reorder Needed","OK")</f>
        <v>OK</v>
      </c>
    </row>
    <row r="42" customFormat="false" ht="15" hidden="false" customHeight="false" outlineLevel="0" collapsed="false">
      <c r="A42" s="2" t="str">
        <f aca="false">Raw_Data!A42</f>
        <v>SKU1148</v>
      </c>
      <c r="B42" s="2" t="str">
        <f aca="false">TRIM(PROPER(Raw_Data!B42))</f>
        <v>Remote Car</v>
      </c>
      <c r="C42" s="2" t="str">
        <f aca="false">PROPER(TRIM(Raw_Data!C42))</f>
        <v>Toys</v>
      </c>
      <c r="D42" s="2" t="str">
        <f aca="false">IF(ISNUMBER(SEARCH("north",Raw_Data!D42)),"WH-North",IF(ISNUMBER(SEARCH("south",Raw_Data!D42)),"WH-South",IF(ISNUMBER(SEARCH("east",Raw_Data!D42)),"WH-East",IF(ISNUMBER(SEARCH("west",Raw_Data!D42)),"WH-West","Unknown"))))</f>
        <v>WH-West</v>
      </c>
      <c r="E42" s="2" t="n">
        <f aca="false">IF(Raw_Data!E42&lt;0,0,Raw_Data!E42)</f>
        <v>201</v>
      </c>
      <c r="F42" s="2" t="str">
        <f aca="false">IF(Raw_Data!E42&lt;0,"Yes","No")</f>
        <v>No</v>
      </c>
      <c r="G42" s="2" t="n">
        <f aca="false">IF(Raw_Data!F42="",ROUND(AVERAGEIFS(Raw_Data!$F$2:$F$176,$C$2:$C$176,C42),2),Raw_Data!F42)</f>
        <v>177.92</v>
      </c>
      <c r="H42" s="2" t="n">
        <f aca="false">Raw_Data!G42</f>
        <v>14</v>
      </c>
      <c r="I42" s="2" t="str">
        <f aca="false">IF(TRIM(Raw_Data!H42)="","Not Assigned",TRIM(Raw_Data!H42))</f>
        <v>Prime Vendors</v>
      </c>
      <c r="J42" s="3" t="n">
        <f aca="false">DATE(VALUE(MID(SUBSTITUTE(Raw_Data!I42,"/","-"),7,4)),VALUE(MID(SUBSTITUTE(Raw_Data!I42,"/","-"),4,2)),VALUE(LEFT(SUBSTITUTE(Raw_Data!I42,"/","-"),2)))</f>
        <v>45773</v>
      </c>
      <c r="K42" s="2" t="str">
        <f aca="false">IF(COUNTIF(Raw_Data!$A$2:A42,Raw_Data!A42)&gt;1,"Duplicate - Remove","Keep")</f>
        <v>Keep</v>
      </c>
      <c r="L42" s="2" t="str">
        <f aca="false">IF(E42&lt;H42,"Reorder Needed","OK")</f>
        <v>OK</v>
      </c>
    </row>
    <row r="43" customFormat="false" ht="15" hidden="false" customHeight="false" outlineLevel="0" collapsed="false">
      <c r="A43" s="2" t="str">
        <f aca="false">Raw_Data!A43</f>
        <v>SKU1124</v>
      </c>
      <c r="B43" s="2" t="str">
        <f aca="false">TRIM(PROPER(Raw_Data!B43))</f>
        <v>Non-Stick Pan</v>
      </c>
      <c r="C43" s="2" t="str">
        <f aca="false">PROPER(TRIM(Raw_Data!C43))</f>
        <v>Kitchenware</v>
      </c>
      <c r="D43" s="2" t="str">
        <f aca="false">IF(ISNUMBER(SEARCH("north",Raw_Data!D43)),"WH-North",IF(ISNUMBER(SEARCH("south",Raw_Data!D43)),"WH-South",IF(ISNUMBER(SEARCH("east",Raw_Data!D43)),"WH-East",IF(ISNUMBER(SEARCH("west",Raw_Data!D43)),"WH-West","Unknown"))))</f>
        <v>WH-West</v>
      </c>
      <c r="E43" s="2" t="n">
        <f aca="false">IF(Raw_Data!E43&lt;0,0,Raw_Data!E43)</f>
        <v>248</v>
      </c>
      <c r="F43" s="2" t="str">
        <f aca="false">IF(Raw_Data!E43&lt;0,"Yes","No")</f>
        <v>No</v>
      </c>
      <c r="G43" s="2" t="n">
        <f aca="false">IF(Raw_Data!F43="",ROUND(AVERAGEIFS(Raw_Data!$F$2:$F$176,$C$2:$C$176,C43),2),Raw_Data!F43)</f>
        <v>3833</v>
      </c>
      <c r="H43" s="2" t="n">
        <f aca="false">Raw_Data!G43</f>
        <v>24</v>
      </c>
      <c r="I43" s="2" t="str">
        <f aca="false">IF(TRIM(Raw_Data!H43)="","Not Assigned",TRIM(Raw_Data!H43))</f>
        <v>Sharma Traders</v>
      </c>
      <c r="J43" s="3" t="n">
        <f aca="false">DATE(VALUE(MID(SUBSTITUTE(Raw_Data!I43,"/","-"),7,4)),VALUE(MID(SUBSTITUTE(Raw_Data!I43,"/","-"),4,2)),VALUE(LEFT(SUBSTITUTE(Raw_Data!I43,"/","-"),2)))</f>
        <v>45865</v>
      </c>
      <c r="K43" s="2" t="str">
        <f aca="false">IF(COUNTIF(Raw_Data!$A$2:A43,Raw_Data!A43)&gt;1,"Duplicate - Remove","Keep")</f>
        <v>Keep</v>
      </c>
      <c r="L43" s="2" t="str">
        <f aca="false">IF(E43&lt;H43,"Reorder Needed","OK")</f>
        <v>OK</v>
      </c>
    </row>
    <row r="44" customFormat="false" ht="15" hidden="false" customHeight="false" outlineLevel="0" collapsed="false">
      <c r="A44" s="2" t="str">
        <f aca="false">Raw_Data!A44</f>
        <v>SKU1142</v>
      </c>
      <c r="B44" s="2" t="str">
        <f aca="false">TRIM(PROPER(Raw_Data!B44))</f>
        <v>Building Blocks Set</v>
      </c>
      <c r="C44" s="2" t="str">
        <f aca="false">PROPER(TRIM(Raw_Data!C44))</f>
        <v>Toys</v>
      </c>
      <c r="D44" s="2" t="str">
        <f aca="false">IF(ISNUMBER(SEARCH("north",Raw_Data!D44)),"WH-North",IF(ISNUMBER(SEARCH("south",Raw_Data!D44)),"WH-South",IF(ISNUMBER(SEARCH("east",Raw_Data!D44)),"WH-East",IF(ISNUMBER(SEARCH("west",Raw_Data!D44)),"WH-West","Unknown"))))</f>
        <v>WH-South</v>
      </c>
      <c r="E44" s="2" t="n">
        <f aca="false">IF(Raw_Data!E44&lt;0,0,Raw_Data!E44)</f>
        <v>108</v>
      </c>
      <c r="F44" s="2" t="str">
        <f aca="false">IF(Raw_Data!E44&lt;0,"Yes","No")</f>
        <v>No</v>
      </c>
      <c r="G44" s="2" t="n">
        <f aca="false">IF(Raw_Data!F44="",ROUND(AVERAGEIFS(Raw_Data!$F$2:$F$176,$C$2:$C$176,C44),2),Raw_Data!F44)</f>
        <v>837.91</v>
      </c>
      <c r="H44" s="2" t="n">
        <f aca="false">Raw_Data!G44</f>
        <v>11</v>
      </c>
      <c r="I44" s="2" t="str">
        <f aca="false">IF(TRIM(Raw_Data!H44)="","Not Assigned",TRIM(Raw_Data!H44))</f>
        <v>Metro Distributors</v>
      </c>
      <c r="J44" s="3" t="n">
        <f aca="false">DATE(VALUE(MID(SUBSTITUTE(Raw_Data!I44,"/","-"),7,4)),VALUE(MID(SUBSTITUTE(Raw_Data!I44,"/","-"),4,2)),VALUE(LEFT(SUBSTITUTE(Raw_Data!I44,"/","-"),2)))</f>
        <v>45896</v>
      </c>
      <c r="K44" s="2" t="str">
        <f aca="false">IF(COUNTIF(Raw_Data!$A$2:A44,Raw_Data!A44)&gt;1,"Duplicate - Remove","Keep")</f>
        <v>Keep</v>
      </c>
      <c r="L44" s="2" t="str">
        <f aca="false">IF(E44&lt;H44,"Reorder Needed","OK")</f>
        <v>OK</v>
      </c>
    </row>
    <row r="45" customFormat="false" ht="15" hidden="false" customHeight="false" outlineLevel="0" collapsed="false">
      <c r="A45" s="2" t="str">
        <f aca="false">Raw_Data!A45</f>
        <v>SKU1036</v>
      </c>
      <c r="B45" s="2" t="str">
        <f aca="false">TRIM(PROPER(Raw_Data!B45))</f>
        <v>Whiteboard Marker</v>
      </c>
      <c r="C45" s="2" t="str">
        <f aca="false">PROPER(TRIM(Raw_Data!C45))</f>
        <v>Stationery</v>
      </c>
      <c r="D45" s="2" t="str">
        <f aca="false">IF(ISNUMBER(SEARCH("north",Raw_Data!D45)),"WH-North",IF(ISNUMBER(SEARCH("south",Raw_Data!D45)),"WH-South",IF(ISNUMBER(SEARCH("east",Raw_Data!D45)),"WH-East",IF(ISNUMBER(SEARCH("west",Raw_Data!D45)),"WH-West","Unknown"))))</f>
        <v>WH-West</v>
      </c>
      <c r="E45" s="2" t="n">
        <f aca="false">IF(Raw_Data!E45&lt;0,0,Raw_Data!E45)</f>
        <v>0</v>
      </c>
      <c r="F45" s="2" t="str">
        <f aca="false">IF(Raw_Data!E45&lt;0,"Yes","No")</f>
        <v>Yes</v>
      </c>
      <c r="G45" s="2" t="n">
        <f aca="false">IF(Raw_Data!F45="",ROUND(AVERAGEIFS(Raw_Data!$F$2:$F$176,$C$2:$C$176,C45),2),Raw_Data!F45)</f>
        <v>3235.72</v>
      </c>
      <c r="H45" s="2" t="n">
        <f aca="false">Raw_Data!G45</f>
        <v>31</v>
      </c>
      <c r="I45" s="2" t="str">
        <f aca="false">IF(TRIM(Raw_Data!H45)="","Not Assigned",TRIM(Raw_Data!H45))</f>
        <v>Prime Vendors</v>
      </c>
      <c r="J45" s="3" t="n">
        <f aca="false">DATE(VALUE(MID(SUBSTITUTE(Raw_Data!I45,"/","-"),7,4)),VALUE(MID(SUBSTITUTE(Raw_Data!I45,"/","-"),4,2)),VALUE(LEFT(SUBSTITUTE(Raw_Data!I45,"/","-"),2)))</f>
        <v>45898</v>
      </c>
      <c r="K45" s="2" t="str">
        <f aca="false">IF(COUNTIF(Raw_Data!$A$2:A45,Raw_Data!A45)&gt;1,"Duplicate - Remove","Keep")</f>
        <v>Keep</v>
      </c>
      <c r="L45" s="2" t="str">
        <f aca="false">IF(E45&lt;H45,"Reorder Needed","OK")</f>
        <v>Reorder Needed</v>
      </c>
    </row>
    <row r="46" customFormat="false" ht="15" hidden="false" customHeight="false" outlineLevel="0" collapsed="false">
      <c r="A46" s="2" t="str">
        <f aca="false">Raw_Data!A46</f>
        <v>SKU1057</v>
      </c>
      <c r="B46" s="2" t="str">
        <f aca="false">TRIM(PROPER(Raw_Data!B46))</f>
        <v>Iron Box Steam</v>
      </c>
      <c r="C46" s="2" t="str">
        <f aca="false">PROPER(TRIM(Raw_Data!C46))</f>
        <v>Home Appliances</v>
      </c>
      <c r="D46" s="2" t="str">
        <f aca="false">IF(ISNUMBER(SEARCH("north",Raw_Data!D46)),"WH-North",IF(ISNUMBER(SEARCH("south",Raw_Data!D46)),"WH-South",IF(ISNUMBER(SEARCH("east",Raw_Data!D46)),"WH-East",IF(ISNUMBER(SEARCH("west",Raw_Data!D46)),"WH-West","Unknown"))))</f>
        <v>WH-North</v>
      </c>
      <c r="E46" s="2" t="n">
        <f aca="false">IF(Raw_Data!E46&lt;0,0,Raw_Data!E46)</f>
        <v>235</v>
      </c>
      <c r="F46" s="2" t="str">
        <f aca="false">IF(Raw_Data!E46&lt;0,"Yes","No")</f>
        <v>No</v>
      </c>
      <c r="G46" s="2" t="n">
        <f aca="false">IF(Raw_Data!F46="",ROUND(AVERAGEIFS(Raw_Data!$F$2:$F$176,$C$2:$C$176,C46),2),Raw_Data!F46)</f>
        <v>1885.6</v>
      </c>
      <c r="H46" s="2" t="n">
        <f aca="false">Raw_Data!G46</f>
        <v>29</v>
      </c>
      <c r="I46" s="2" t="str">
        <f aca="false">IF(TRIM(Raw_Data!H46)="","Not Assigned",TRIM(Raw_Data!H46))</f>
        <v>Prime Vendors</v>
      </c>
      <c r="J46" s="3" t="n">
        <f aca="false">DATE(VALUE(MID(SUBSTITUTE(Raw_Data!I46,"/","-"),7,4)),VALUE(MID(SUBSTITUTE(Raw_Data!I46,"/","-"),4,2)),VALUE(LEFT(SUBSTITUTE(Raw_Data!I46,"/","-"),2)))</f>
        <v>45755</v>
      </c>
      <c r="K46" s="2" t="str">
        <f aca="false">IF(COUNTIF(Raw_Data!$A$2:A46,Raw_Data!A46)&gt;1,"Duplicate - Remove","Keep")</f>
        <v>Keep</v>
      </c>
      <c r="L46" s="2" t="str">
        <f aca="false">IF(E46&lt;H46,"Reorder Needed","OK")</f>
        <v>OK</v>
      </c>
    </row>
    <row r="47" customFormat="false" ht="15" hidden="false" customHeight="false" outlineLevel="0" collapsed="false">
      <c r="A47" s="2" t="str">
        <f aca="false">Raw_Data!A47</f>
        <v>SKU1152</v>
      </c>
      <c r="B47" s="2" t="str">
        <f aca="false">TRIM(PROPER(Raw_Data!B47))</f>
        <v>Puzzle 100Pc</v>
      </c>
      <c r="C47" s="2" t="str">
        <f aca="false">PROPER(TRIM(Raw_Data!C47))</f>
        <v>Toys</v>
      </c>
      <c r="D47" s="2" t="str">
        <f aca="false">IF(ISNUMBER(SEARCH("north",Raw_Data!D47)),"WH-North",IF(ISNUMBER(SEARCH("south",Raw_Data!D47)),"WH-South",IF(ISNUMBER(SEARCH("east",Raw_Data!D47)),"WH-East",IF(ISNUMBER(SEARCH("west",Raw_Data!D47)),"WH-West","Unknown"))))</f>
        <v>WH-West</v>
      </c>
      <c r="E47" s="2" t="n">
        <f aca="false">IF(Raw_Data!E47&lt;0,0,Raw_Data!E47)</f>
        <v>94</v>
      </c>
      <c r="F47" s="2" t="str">
        <f aca="false">IF(Raw_Data!E47&lt;0,"Yes","No")</f>
        <v>No</v>
      </c>
      <c r="G47" s="2" t="n">
        <f aca="false">IF(Raw_Data!F47="",ROUND(AVERAGEIFS(Raw_Data!$F$2:$F$176,$C$2:$C$176,C47),2),Raw_Data!F47)</f>
        <v>2059.59</v>
      </c>
      <c r="H47" s="2" t="n">
        <f aca="false">Raw_Data!G47</f>
        <v>13</v>
      </c>
      <c r="I47" s="2" t="str">
        <f aca="false">IF(TRIM(Raw_Data!H47)="","Not Assigned",TRIM(Raw_Data!H47))</f>
        <v>Global Supply Co</v>
      </c>
      <c r="J47" s="3" t="n">
        <f aca="false">DATE(VALUE(MID(SUBSTITUTE(Raw_Data!I47,"/","-"),7,4)),VALUE(MID(SUBSTITUTE(Raw_Data!I47,"/","-"),4,2)),VALUE(LEFT(SUBSTITUTE(Raw_Data!I47,"/","-"),2)))</f>
        <v>45860</v>
      </c>
      <c r="K47" s="2" t="str">
        <f aca="false">IF(COUNTIF(Raw_Data!$A$2:A47,Raw_Data!A47)&gt;1,"Duplicate - Remove","Keep")</f>
        <v>Keep</v>
      </c>
      <c r="L47" s="2" t="str">
        <f aca="false">IF(E47&lt;H47,"Reorder Needed","OK")</f>
        <v>OK</v>
      </c>
    </row>
    <row r="48" customFormat="false" ht="15" hidden="false" customHeight="false" outlineLevel="0" collapsed="false">
      <c r="A48" s="2" t="str">
        <f aca="false">Raw_Data!A48</f>
        <v>SKU1009</v>
      </c>
      <c r="B48" s="2" t="str">
        <f aca="false">TRIM(PROPER(Raw_Data!B48))</f>
        <v>Bluetooth Speaker</v>
      </c>
      <c r="C48" s="2" t="str">
        <f aca="false">PROPER(TRIM(Raw_Data!C48))</f>
        <v>Electronics</v>
      </c>
      <c r="D48" s="2" t="str">
        <f aca="false">IF(ISNUMBER(SEARCH("north",Raw_Data!D48)),"WH-North",IF(ISNUMBER(SEARCH("south",Raw_Data!D48)),"WH-South",IF(ISNUMBER(SEARCH("east",Raw_Data!D48)),"WH-East",IF(ISNUMBER(SEARCH("west",Raw_Data!D48)),"WH-West","Unknown"))))</f>
        <v>WH-North</v>
      </c>
      <c r="E48" s="2" t="n">
        <f aca="false">IF(Raw_Data!E48&lt;0,0,Raw_Data!E48)</f>
        <v>224</v>
      </c>
      <c r="F48" s="2" t="str">
        <f aca="false">IF(Raw_Data!E48&lt;0,"Yes","No")</f>
        <v>No</v>
      </c>
      <c r="G48" s="2" t="n">
        <f aca="false">IF(Raw_Data!F48="",ROUND(AVERAGEIFS(Raw_Data!$F$2:$F$176,$C$2:$C$176,C48),2),Raw_Data!F48)</f>
        <v>1627.63</v>
      </c>
      <c r="H48" s="2" t="n">
        <f aca="false">Raw_Data!G48</f>
        <v>17</v>
      </c>
      <c r="I48" s="2" t="str">
        <f aca="false">IF(TRIM(Raw_Data!H48)="","Not Assigned",TRIM(Raw_Data!H48))</f>
        <v>Global Supply Co</v>
      </c>
      <c r="J48" s="3" t="n">
        <f aca="false">DATE(VALUE(MID(SUBSTITUTE(Raw_Data!I48,"/","-"),7,4)),VALUE(MID(SUBSTITUTE(Raw_Data!I48,"/","-"),4,2)),VALUE(LEFT(SUBSTITUTE(Raw_Data!I48,"/","-"),2)))</f>
        <v>45788</v>
      </c>
      <c r="K48" s="2" t="str">
        <f aca="false">IF(COUNTIF(Raw_Data!$A$2:A48,Raw_Data!A48)&gt;1,"Duplicate - Remove","Keep")</f>
        <v>Keep</v>
      </c>
      <c r="L48" s="2" t="str">
        <f aca="false">IF(E48&lt;H48,"Reorder Needed","OK")</f>
        <v>OK</v>
      </c>
    </row>
    <row r="49" customFormat="false" ht="15" hidden="false" customHeight="false" outlineLevel="0" collapsed="false">
      <c r="A49" s="2" t="str">
        <f aca="false">Raw_Data!A49</f>
        <v>SKU1046</v>
      </c>
      <c r="B49" s="2" t="str">
        <f aca="false">TRIM(PROPER(Raw_Data!B49))</f>
        <v>Table Fan 16In</v>
      </c>
      <c r="C49" s="2" t="str">
        <f aca="false">PROPER(TRIM(Raw_Data!C49))</f>
        <v>Home Appliances</v>
      </c>
      <c r="D49" s="2" t="str">
        <f aca="false">IF(ISNUMBER(SEARCH("north",Raw_Data!D49)),"WH-North",IF(ISNUMBER(SEARCH("south",Raw_Data!D49)),"WH-South",IF(ISNUMBER(SEARCH("east",Raw_Data!D49)),"WH-East",IF(ISNUMBER(SEARCH("west",Raw_Data!D49)),"WH-West","Unknown"))))</f>
        <v>WH-South</v>
      </c>
      <c r="E49" s="2" t="n">
        <f aca="false">IF(Raw_Data!E49&lt;0,0,Raw_Data!E49)</f>
        <v>114</v>
      </c>
      <c r="F49" s="2" t="str">
        <f aca="false">IF(Raw_Data!E49&lt;0,"Yes","No")</f>
        <v>No</v>
      </c>
      <c r="G49" s="2" t="n">
        <f aca="false">IF(Raw_Data!F49="",ROUND(AVERAGEIFS(Raw_Data!$F$2:$F$176,$C$2:$C$176,C49),2),Raw_Data!F49)</f>
        <v>1660.02</v>
      </c>
      <c r="H49" s="2" t="n">
        <f aca="false">Raw_Data!G49</f>
        <v>27</v>
      </c>
      <c r="I49" s="2" t="str">
        <f aca="false">IF(TRIM(Raw_Data!H49)="","Not Assigned",TRIM(Raw_Data!H49))</f>
        <v>Fine Goods Pvt Ltd</v>
      </c>
      <c r="J49" s="3" t="n">
        <f aca="false">DATE(VALUE(MID(SUBSTITUTE(Raw_Data!I49,"/","-"),7,4)),VALUE(MID(SUBSTITUTE(Raw_Data!I49,"/","-"),4,2)),VALUE(LEFT(SUBSTITUTE(Raw_Data!I49,"/","-"),2)))</f>
        <v>45764</v>
      </c>
      <c r="K49" s="2" t="str">
        <f aca="false">IF(COUNTIF(Raw_Data!$A$2:A49,Raw_Data!A49)&gt;1,"Duplicate - Remove","Keep")</f>
        <v>Keep</v>
      </c>
      <c r="L49" s="2" t="str">
        <f aca="false">IF(E49&lt;H49,"Reorder Needed","OK")</f>
        <v>OK</v>
      </c>
    </row>
    <row r="50" customFormat="false" ht="15" hidden="false" customHeight="false" outlineLevel="0" collapsed="false">
      <c r="A50" s="2" t="str">
        <f aca="false">Raw_Data!A50</f>
        <v>SKU1082</v>
      </c>
      <c r="B50" s="2" t="str">
        <f aca="false">TRIM(PROPER(Raw_Data!B50))</f>
        <v>Running Shoes Men</v>
      </c>
      <c r="C50" s="2" t="str">
        <f aca="false">PROPER(TRIM(Raw_Data!C50))</f>
        <v>Footwear</v>
      </c>
      <c r="D50" s="2" t="str">
        <f aca="false">IF(ISNUMBER(SEARCH("north",Raw_Data!D50)),"WH-North",IF(ISNUMBER(SEARCH("south",Raw_Data!D50)),"WH-South",IF(ISNUMBER(SEARCH("east",Raw_Data!D50)),"WH-East",IF(ISNUMBER(SEARCH("west",Raw_Data!D50)),"WH-West","Unknown"))))</f>
        <v>WH-South</v>
      </c>
      <c r="E50" s="2" t="n">
        <f aca="false">IF(Raw_Data!E50&lt;0,0,Raw_Data!E50)</f>
        <v>214</v>
      </c>
      <c r="F50" s="2" t="str">
        <f aca="false">IF(Raw_Data!E50&lt;0,"Yes","No")</f>
        <v>No</v>
      </c>
      <c r="G50" s="2" t="n">
        <f aca="false">IF(Raw_Data!F50="",ROUND(AVERAGEIFS(Raw_Data!$F$2:$F$176,$C$2:$C$176,C50),2),Raw_Data!F50)</f>
        <v>3881.33</v>
      </c>
      <c r="H50" s="2" t="n">
        <f aca="false">Raw_Data!G50</f>
        <v>12</v>
      </c>
      <c r="I50" s="2" t="str">
        <f aca="false">IF(TRIM(Raw_Data!H50)="","Not Assigned",TRIM(Raw_Data!H50))</f>
        <v>Fine Goods Pvt Ltd</v>
      </c>
      <c r="J50" s="3" t="n">
        <f aca="false">DATE(VALUE(MID(SUBSTITUTE(Raw_Data!I50,"/","-"),7,4)),VALUE(MID(SUBSTITUTE(Raw_Data!I50,"/","-"),4,2)),VALUE(LEFT(SUBSTITUTE(Raw_Data!I50,"/","-"),2)))</f>
        <v>45858</v>
      </c>
      <c r="K50" s="2" t="str">
        <f aca="false">IF(COUNTIF(Raw_Data!$A$2:A50,Raw_Data!A50)&gt;1,"Duplicate - Remove","Keep")</f>
        <v>Keep</v>
      </c>
      <c r="L50" s="2" t="str">
        <f aca="false">IF(E50&lt;H50,"Reorder Needed","OK")</f>
        <v>OK</v>
      </c>
    </row>
    <row r="51" customFormat="false" ht="15" hidden="false" customHeight="false" outlineLevel="0" collapsed="false">
      <c r="A51" s="2" t="str">
        <f aca="false">Raw_Data!A51</f>
        <v>SKU1047</v>
      </c>
      <c r="B51" s="2" t="str">
        <f aca="false">TRIM(PROPER(Raw_Data!B51))</f>
        <v>Table Fan 16In</v>
      </c>
      <c r="C51" s="2" t="str">
        <f aca="false">PROPER(TRIM(Raw_Data!C51))</f>
        <v>Home Appliances</v>
      </c>
      <c r="D51" s="2" t="str">
        <f aca="false">IF(ISNUMBER(SEARCH("north",Raw_Data!D51)),"WH-North",IF(ISNUMBER(SEARCH("south",Raw_Data!D51)),"WH-South",IF(ISNUMBER(SEARCH("east",Raw_Data!D51)),"WH-East",IF(ISNUMBER(SEARCH("west",Raw_Data!D51)),"WH-West","Unknown"))))</f>
        <v>WH-East</v>
      </c>
      <c r="E51" s="2" t="n">
        <f aca="false">IF(Raw_Data!E51&lt;0,0,Raw_Data!E51)</f>
        <v>15</v>
      </c>
      <c r="F51" s="2" t="str">
        <f aca="false">IF(Raw_Data!E51&lt;0,"Yes","No")</f>
        <v>No</v>
      </c>
      <c r="G51" s="2" t="n">
        <f aca="false">IF(Raw_Data!F51="",ROUND(AVERAGEIFS(Raw_Data!$F$2:$F$176,$C$2:$C$176,C51),2),Raw_Data!F51)</f>
        <v>3074.1</v>
      </c>
      <c r="H51" s="2" t="n">
        <f aca="false">Raw_Data!G51</f>
        <v>22</v>
      </c>
      <c r="I51" s="2" t="str">
        <f aca="false">IF(TRIM(Raw_Data!H51)="","Not Assigned",TRIM(Raw_Data!H51))</f>
        <v>Fine Goods Pvt Ltd</v>
      </c>
      <c r="J51" s="3" t="n">
        <f aca="false">DATE(VALUE(MID(SUBSTITUTE(Raw_Data!I51,"/","-"),7,4)),VALUE(MID(SUBSTITUTE(Raw_Data!I51,"/","-"),4,2)),VALUE(LEFT(SUBSTITUTE(Raw_Data!I51,"/","-"),2)))</f>
        <v>45659</v>
      </c>
      <c r="K51" s="2" t="str">
        <f aca="false">IF(COUNTIF(Raw_Data!$A$2:A51,Raw_Data!A51)&gt;1,"Duplicate - Remove","Keep")</f>
        <v>Keep</v>
      </c>
      <c r="L51" s="2" t="str">
        <f aca="false">IF(E51&lt;H51,"Reorder Needed","OK")</f>
        <v>Reorder Needed</v>
      </c>
    </row>
    <row r="52" customFormat="false" ht="15" hidden="false" customHeight="false" outlineLevel="0" collapsed="false">
      <c r="A52" s="2" t="str">
        <f aca="false">Raw_Data!A52</f>
        <v>SKU1089</v>
      </c>
      <c r="B52" s="2" t="str">
        <f aca="false">TRIM(PROPER(Raw_Data!B52))</f>
        <v>Formal Shoes Men</v>
      </c>
      <c r="C52" s="2" t="str">
        <f aca="false">PROPER(TRIM(Raw_Data!C52))</f>
        <v>Footwear</v>
      </c>
      <c r="D52" s="2" t="str">
        <f aca="false">IF(ISNUMBER(SEARCH("north",Raw_Data!D52)),"WH-North",IF(ISNUMBER(SEARCH("south",Raw_Data!D52)),"WH-South",IF(ISNUMBER(SEARCH("east",Raw_Data!D52)),"WH-East",IF(ISNUMBER(SEARCH("west",Raw_Data!D52)),"WH-West","Unknown"))))</f>
        <v>WH-North</v>
      </c>
      <c r="E52" s="2" t="n">
        <f aca="false">IF(Raw_Data!E52&lt;0,0,Raw_Data!E52)</f>
        <v>294</v>
      </c>
      <c r="F52" s="2" t="str">
        <f aca="false">IF(Raw_Data!E52&lt;0,"Yes","No")</f>
        <v>No</v>
      </c>
      <c r="G52" s="2" t="n">
        <f aca="false">IF(Raw_Data!F52="",ROUND(AVERAGEIFS(Raw_Data!$F$2:$F$176,$C$2:$C$176,C52),2),Raw_Data!F52)</f>
        <v>3124.33</v>
      </c>
      <c r="H52" s="2" t="n">
        <f aca="false">Raw_Data!G52</f>
        <v>11</v>
      </c>
      <c r="I52" s="2" t="str">
        <f aca="false">IF(TRIM(Raw_Data!H52)="","Not Assigned",TRIM(Raw_Data!H52))</f>
        <v>Nova Wholesale</v>
      </c>
      <c r="J52" s="3" t="n">
        <f aca="false">DATE(VALUE(MID(SUBSTITUTE(Raw_Data!I52,"/","-"),7,4)),VALUE(MID(SUBSTITUTE(Raw_Data!I52,"/","-"),4,2)),VALUE(LEFT(SUBSTITUTE(Raw_Data!I52,"/","-"),2)))</f>
        <v>45848</v>
      </c>
      <c r="K52" s="2" t="str">
        <f aca="false">IF(COUNTIF(Raw_Data!$A$2:A52,Raw_Data!A52)&gt;1,"Duplicate - Remove","Keep")</f>
        <v>Keep</v>
      </c>
      <c r="L52" s="2" t="str">
        <f aca="false">IF(E52&lt;H52,"Reorder Needed","OK")</f>
        <v>OK</v>
      </c>
    </row>
    <row r="53" customFormat="false" ht="15" hidden="false" customHeight="false" outlineLevel="0" collapsed="false">
      <c r="A53" s="2" t="str">
        <f aca="false">Raw_Data!A53</f>
        <v>SKU1135</v>
      </c>
      <c r="B53" s="2" t="str">
        <f aca="false">TRIM(PROPER(Raw_Data!B53))</f>
        <v>Water Bottle 1L</v>
      </c>
      <c r="C53" s="2" t="str">
        <f aca="false">PROPER(TRIM(Raw_Data!C53))</f>
        <v>Kitchenware</v>
      </c>
      <c r="D53" s="2" t="str">
        <f aca="false">IF(ISNUMBER(SEARCH("north",Raw_Data!D53)),"WH-North",IF(ISNUMBER(SEARCH("south",Raw_Data!D53)),"WH-South",IF(ISNUMBER(SEARCH("east",Raw_Data!D53)),"WH-East",IF(ISNUMBER(SEARCH("west",Raw_Data!D53)),"WH-West","Unknown"))))</f>
        <v>WH-East</v>
      </c>
      <c r="E53" s="2" t="n">
        <f aca="false">IF(Raw_Data!E53&lt;0,0,Raw_Data!E53)</f>
        <v>183</v>
      </c>
      <c r="F53" s="2" t="str">
        <f aca="false">IF(Raw_Data!E53&lt;0,"Yes","No")</f>
        <v>No</v>
      </c>
      <c r="G53" s="2" t="n">
        <f aca="false">IF(Raw_Data!F53="",ROUND(AVERAGEIFS(Raw_Data!$F$2:$F$176,$C$2:$C$176,C53),2),Raw_Data!F53)</f>
        <v>1688.84</v>
      </c>
      <c r="H53" s="2" t="n">
        <f aca="false">Raw_Data!G53</f>
        <v>22</v>
      </c>
      <c r="I53" s="2" t="str">
        <f aca="false">IF(TRIM(Raw_Data!H53)="","Not Assigned",TRIM(Raw_Data!H53))</f>
        <v>Not Assigned</v>
      </c>
      <c r="J53" s="3" t="n">
        <f aca="false">DATE(VALUE(MID(SUBSTITUTE(Raw_Data!I53,"/","-"),7,4)),VALUE(MID(SUBSTITUTE(Raw_Data!I53,"/","-"),4,2)),VALUE(LEFT(SUBSTITUTE(Raw_Data!I53,"/","-"),2)))</f>
        <v>45753</v>
      </c>
      <c r="K53" s="2" t="str">
        <f aca="false">IF(COUNTIF(Raw_Data!$A$2:A53,Raw_Data!A53)&gt;1,"Duplicate - Remove","Keep")</f>
        <v>Keep</v>
      </c>
      <c r="L53" s="2" t="str">
        <f aca="false">IF(E53&lt;H53,"Reorder Needed","OK")</f>
        <v>OK</v>
      </c>
    </row>
    <row r="54" customFormat="false" ht="15" hidden="false" customHeight="false" outlineLevel="0" collapsed="false">
      <c r="A54" s="2" t="str">
        <f aca="false">Raw_Data!A54</f>
        <v>SKU1083</v>
      </c>
      <c r="B54" s="2" t="str">
        <f aca="false">TRIM(PROPER(Raw_Data!B54))</f>
        <v>Running Shoes Men</v>
      </c>
      <c r="C54" s="2" t="str">
        <f aca="false">PROPER(TRIM(Raw_Data!C54))</f>
        <v>Footwear</v>
      </c>
      <c r="D54" s="2" t="str">
        <f aca="false">IF(ISNUMBER(SEARCH("north",Raw_Data!D54)),"WH-North",IF(ISNUMBER(SEARCH("south",Raw_Data!D54)),"WH-South",IF(ISNUMBER(SEARCH("east",Raw_Data!D54)),"WH-East",IF(ISNUMBER(SEARCH("west",Raw_Data!D54)),"WH-West","Unknown"))))</f>
        <v>WH-East</v>
      </c>
      <c r="E54" s="2" t="n">
        <f aca="false">IF(Raw_Data!E54&lt;0,0,Raw_Data!E54)</f>
        <v>278</v>
      </c>
      <c r="F54" s="2" t="str">
        <f aca="false">IF(Raw_Data!E54&lt;0,"Yes","No")</f>
        <v>No</v>
      </c>
      <c r="G54" s="2" t="n">
        <f aca="false">IF(Raw_Data!F54="",ROUND(AVERAGEIFS(Raw_Data!$F$2:$F$176,$C$2:$C$176,C54),2),Raw_Data!F54)</f>
        <v>1300.81</v>
      </c>
      <c r="H54" s="2" t="n">
        <f aca="false">Raw_Data!G54</f>
        <v>32</v>
      </c>
      <c r="I54" s="2" t="str">
        <f aca="false">IF(TRIM(Raw_Data!H54)="","Not Assigned",TRIM(Raw_Data!H54))</f>
        <v>Fine Goods Pvt Ltd</v>
      </c>
      <c r="J54" s="3" t="n">
        <f aca="false">DATE(VALUE(MID(SUBSTITUTE(Raw_Data!I54,"/","-"),7,4)),VALUE(MID(SUBSTITUTE(Raw_Data!I54,"/","-"),4,2)),VALUE(LEFT(SUBSTITUTE(Raw_Data!I54,"/","-"),2)))</f>
        <v>45881</v>
      </c>
      <c r="K54" s="2" t="str">
        <f aca="false">IF(COUNTIF(Raw_Data!$A$2:A54,Raw_Data!A54)&gt;1,"Duplicate - Remove","Keep")</f>
        <v>Keep</v>
      </c>
      <c r="L54" s="2" t="str">
        <f aca="false">IF(E54&lt;H54,"Reorder Needed","OK")</f>
        <v>OK</v>
      </c>
    </row>
    <row r="55" customFormat="false" ht="15" hidden="false" customHeight="false" outlineLevel="0" collapsed="false">
      <c r="A55" s="2" t="str">
        <f aca="false">Raw_Data!A55</f>
        <v>SKU1143</v>
      </c>
      <c r="B55" s="2" t="str">
        <f aca="false">TRIM(PROPER(Raw_Data!B55))</f>
        <v>Building Blocks Set</v>
      </c>
      <c r="C55" s="2" t="str">
        <f aca="false">PROPER(TRIM(Raw_Data!C55))</f>
        <v>Toys</v>
      </c>
      <c r="D55" s="2" t="str">
        <f aca="false">IF(ISNUMBER(SEARCH("north",Raw_Data!D55)),"WH-North",IF(ISNUMBER(SEARCH("south",Raw_Data!D55)),"WH-South",IF(ISNUMBER(SEARCH("east",Raw_Data!D55)),"WH-East",IF(ISNUMBER(SEARCH("west",Raw_Data!D55)),"WH-West","Unknown"))))</f>
        <v>WH-East</v>
      </c>
      <c r="E55" s="2" t="n">
        <f aca="false">IF(Raw_Data!E55&lt;0,0,Raw_Data!E55)</f>
        <v>187</v>
      </c>
      <c r="F55" s="2" t="str">
        <f aca="false">IF(Raw_Data!E55&lt;0,"Yes","No")</f>
        <v>No</v>
      </c>
      <c r="G55" s="2" t="n">
        <f aca="false">IF(Raw_Data!F55="",ROUND(AVERAGEIFS(Raw_Data!$F$2:$F$176,$C$2:$C$176,C55),2),Raw_Data!F55)</f>
        <v>238.83</v>
      </c>
      <c r="H55" s="2" t="n">
        <f aca="false">Raw_Data!G55</f>
        <v>30</v>
      </c>
      <c r="I55" s="2" t="str">
        <f aca="false">IF(TRIM(Raw_Data!H55)="","Not Assigned",TRIM(Raw_Data!H55))</f>
        <v>Metro Distributors</v>
      </c>
      <c r="J55" s="3" t="n">
        <f aca="false">DATE(VALUE(MID(SUBSTITUTE(Raw_Data!I55,"/","-"),7,4)),VALUE(MID(SUBSTITUTE(Raw_Data!I55,"/","-"),4,2)),VALUE(LEFT(SUBSTITUTE(Raw_Data!I55,"/","-"),2)))</f>
        <v>45727</v>
      </c>
      <c r="K55" s="2" t="str">
        <f aca="false">IF(COUNTIF(Raw_Data!$A$2:A55,Raw_Data!A55)&gt;1,"Duplicate - Remove","Keep")</f>
        <v>Keep</v>
      </c>
      <c r="L55" s="2" t="str">
        <f aca="false">IF(E55&lt;H55,"Reorder Needed","OK")</f>
        <v>OK</v>
      </c>
    </row>
    <row r="56" customFormat="false" ht="15" hidden="false" customHeight="false" outlineLevel="0" collapsed="false">
      <c r="A56" s="2" t="str">
        <f aca="false">Raw_Data!A56</f>
        <v>SKU1134</v>
      </c>
      <c r="B56" s="2" t="str">
        <f aca="false">TRIM(PROPER(Raw_Data!B56))</f>
        <v>Water Bottle 1L</v>
      </c>
      <c r="C56" s="2" t="str">
        <f aca="false">PROPER(TRIM(Raw_Data!C56))</f>
        <v>Kitchenware</v>
      </c>
      <c r="D56" s="2" t="str">
        <f aca="false">IF(ISNUMBER(SEARCH("north",Raw_Data!D56)),"WH-North",IF(ISNUMBER(SEARCH("south",Raw_Data!D56)),"WH-South",IF(ISNUMBER(SEARCH("east",Raw_Data!D56)),"WH-East",IF(ISNUMBER(SEARCH("west",Raw_Data!D56)),"WH-West","Unknown"))))</f>
        <v>WH-South</v>
      </c>
      <c r="E56" s="2" t="n">
        <f aca="false">IF(Raw_Data!E56&lt;0,0,Raw_Data!E56)</f>
        <v>269</v>
      </c>
      <c r="F56" s="2" t="str">
        <f aca="false">IF(Raw_Data!E56&lt;0,"Yes","No")</f>
        <v>No</v>
      </c>
      <c r="G56" s="2" t="n">
        <f aca="false">IF(Raw_Data!F56="",ROUND(AVERAGEIFS(Raw_Data!$F$2:$F$176,$C$2:$C$176,C56),2),Raw_Data!F56)</f>
        <v>1176</v>
      </c>
      <c r="H56" s="2" t="n">
        <f aca="false">Raw_Data!G56</f>
        <v>34</v>
      </c>
      <c r="I56" s="2" t="str">
        <f aca="false">IF(TRIM(Raw_Data!H56)="","Not Assigned",TRIM(Raw_Data!H56))</f>
        <v>Global Supply Co</v>
      </c>
      <c r="J56" s="3" t="n">
        <f aca="false">DATE(VALUE(MID(SUBSTITUTE(Raw_Data!I56,"/","-"),7,4)),VALUE(MID(SUBSTITUTE(Raw_Data!I56,"/","-"),4,2)),VALUE(LEFT(SUBSTITUTE(Raw_Data!I56,"/","-"),2)))</f>
        <v>45727</v>
      </c>
      <c r="K56" s="2" t="str">
        <f aca="false">IF(COUNTIF(Raw_Data!$A$2:A56,Raw_Data!A56)&gt;1,"Duplicate - Remove","Keep")</f>
        <v>Keep</v>
      </c>
      <c r="L56" s="2" t="str">
        <f aca="false">IF(E56&lt;H56,"Reorder Needed","OK")</f>
        <v>OK</v>
      </c>
    </row>
    <row r="57" customFormat="false" ht="15" hidden="false" customHeight="false" outlineLevel="0" collapsed="false">
      <c r="A57" s="2" t="str">
        <f aca="false">Raw_Data!A57</f>
        <v>SKU1113</v>
      </c>
      <c r="B57" s="2" t="str">
        <f aca="false">TRIM(PROPER(Raw_Data!B57))</f>
        <v>Track Pants</v>
      </c>
      <c r="C57" s="2" t="str">
        <f aca="false">PROPER(TRIM(Raw_Data!C57))</f>
        <v>Apparel</v>
      </c>
      <c r="D57" s="2" t="str">
        <f aca="false">IF(ISNUMBER(SEARCH("north",Raw_Data!D57)),"WH-North",IF(ISNUMBER(SEARCH("south",Raw_Data!D57)),"WH-South",IF(ISNUMBER(SEARCH("east",Raw_Data!D57)),"WH-East",IF(ISNUMBER(SEARCH("west",Raw_Data!D57)),"WH-West","Unknown"))))</f>
        <v>WH-North</v>
      </c>
      <c r="E57" s="2" t="n">
        <f aca="false">IF(Raw_Data!E57&lt;0,0,Raw_Data!E57)</f>
        <v>30</v>
      </c>
      <c r="F57" s="2" t="str">
        <f aca="false">IF(Raw_Data!E57&lt;0,"Yes","No")</f>
        <v>No</v>
      </c>
      <c r="G57" s="2" t="n">
        <f aca="false">IF(Raw_Data!F57="",ROUND(AVERAGEIFS(Raw_Data!$F$2:$F$176,$C$2:$C$176,C57),2),Raw_Data!F57)</f>
        <v>1124.81</v>
      </c>
      <c r="H57" s="2" t="n">
        <f aca="false">Raw_Data!G57</f>
        <v>31</v>
      </c>
      <c r="I57" s="2" t="str">
        <f aca="false">IF(TRIM(Raw_Data!H57)="","Not Assigned",TRIM(Raw_Data!H57))</f>
        <v>Fine Goods Pvt Ltd</v>
      </c>
      <c r="J57" s="3" t="n">
        <f aca="false">DATE(VALUE(MID(SUBSTITUTE(Raw_Data!I57,"/","-"),7,4)),VALUE(MID(SUBSTITUTE(Raw_Data!I57,"/","-"),4,2)),VALUE(LEFT(SUBSTITUTE(Raw_Data!I57,"/","-"),2)))</f>
        <v>45782</v>
      </c>
      <c r="K57" s="2" t="str">
        <f aca="false">IF(COUNTIF(Raw_Data!$A$2:A57,Raw_Data!A57)&gt;1,"Duplicate - Remove","Keep")</f>
        <v>Keep</v>
      </c>
      <c r="L57" s="2" t="str">
        <f aca="false">IF(E57&lt;H57,"Reorder Needed","OK")</f>
        <v>Reorder Needed</v>
      </c>
    </row>
    <row r="58" customFormat="false" ht="15" hidden="false" customHeight="false" outlineLevel="0" collapsed="false">
      <c r="A58" s="2" t="str">
        <f aca="false">Raw_Data!A58</f>
        <v>SKU1144</v>
      </c>
      <c r="B58" s="2" t="str">
        <f aca="false">TRIM(PROPER(Raw_Data!B58))</f>
        <v>Building Blocks Set</v>
      </c>
      <c r="C58" s="2" t="str">
        <f aca="false">PROPER(TRIM(Raw_Data!C58))</f>
        <v>Toys</v>
      </c>
      <c r="D58" s="2" t="str">
        <f aca="false">IF(ISNUMBER(SEARCH("north",Raw_Data!D58)),"WH-North",IF(ISNUMBER(SEARCH("south",Raw_Data!D58)),"WH-South",IF(ISNUMBER(SEARCH("east",Raw_Data!D58)),"WH-East",IF(ISNUMBER(SEARCH("west",Raw_Data!D58)),"WH-West","Unknown"))))</f>
        <v>WH-West</v>
      </c>
      <c r="E58" s="2" t="n">
        <f aca="false">IF(Raw_Data!E58&lt;0,0,Raw_Data!E58)</f>
        <v>202</v>
      </c>
      <c r="F58" s="2" t="str">
        <f aca="false">IF(Raw_Data!E58&lt;0,"Yes","No")</f>
        <v>No</v>
      </c>
      <c r="G58" s="2" t="n">
        <f aca="false">IF(Raw_Data!F58="",ROUND(AVERAGEIFS(Raw_Data!$F$2:$F$176,$C$2:$C$176,C58),2),Raw_Data!F58)</f>
        <v>787.93</v>
      </c>
      <c r="H58" s="2" t="n">
        <f aca="false">Raw_Data!G58</f>
        <v>32</v>
      </c>
      <c r="I58" s="2" t="str">
        <f aca="false">IF(TRIM(Raw_Data!H58)="","Not Assigned",TRIM(Raw_Data!H58))</f>
        <v>Not Assigned</v>
      </c>
      <c r="J58" s="3" t="n">
        <f aca="false">DATE(VALUE(MID(SUBSTITUTE(Raw_Data!I58,"/","-"),7,4)),VALUE(MID(SUBSTITUTE(Raw_Data!I58,"/","-"),4,2)),VALUE(LEFT(SUBSTITUTE(Raw_Data!I58,"/","-"),2)))</f>
        <v>45752</v>
      </c>
      <c r="K58" s="2" t="str">
        <f aca="false">IF(COUNTIF(Raw_Data!$A$2:A58,Raw_Data!A58)&gt;1,"Duplicate - Remove","Keep")</f>
        <v>Keep</v>
      </c>
      <c r="L58" s="2" t="str">
        <f aca="false">IF(E58&lt;H58,"Reorder Needed","OK")</f>
        <v>OK</v>
      </c>
    </row>
    <row r="59" customFormat="false" ht="15" hidden="false" customHeight="false" outlineLevel="0" collapsed="false">
      <c r="A59" s="2" t="str">
        <f aca="false">Raw_Data!A59</f>
        <v>SKU1045</v>
      </c>
      <c r="B59" s="2" t="str">
        <f aca="false">TRIM(PROPER(Raw_Data!B59))</f>
        <v>Table Fan 16In</v>
      </c>
      <c r="C59" s="2" t="str">
        <f aca="false">PROPER(TRIM(Raw_Data!C59))</f>
        <v>Home Appliances</v>
      </c>
      <c r="D59" s="2" t="str">
        <f aca="false">IF(ISNUMBER(SEARCH("north",Raw_Data!D59)),"WH-North",IF(ISNUMBER(SEARCH("south",Raw_Data!D59)),"WH-South",IF(ISNUMBER(SEARCH("east",Raw_Data!D59)),"WH-East",IF(ISNUMBER(SEARCH("west",Raw_Data!D59)),"WH-West","Unknown"))))</f>
        <v>WH-North</v>
      </c>
      <c r="E59" s="2" t="n">
        <f aca="false">IF(Raw_Data!E59&lt;0,0,Raw_Data!E59)</f>
        <v>145</v>
      </c>
      <c r="F59" s="2" t="str">
        <f aca="false">IF(Raw_Data!E59&lt;0,"Yes","No")</f>
        <v>No</v>
      </c>
      <c r="G59" s="2" t="n">
        <f aca="false">IF(Raw_Data!F59="",ROUND(AVERAGEIFS(Raw_Data!$F$2:$F$176,$C$2:$C$176,C59),2),Raw_Data!F59)</f>
        <v>2868.5</v>
      </c>
      <c r="H59" s="2" t="n">
        <f aca="false">Raw_Data!G59</f>
        <v>17</v>
      </c>
      <c r="I59" s="2" t="str">
        <f aca="false">IF(TRIM(Raw_Data!H59)="","Not Assigned",TRIM(Raw_Data!H59))</f>
        <v>Metro Distributors</v>
      </c>
      <c r="J59" s="3" t="n">
        <f aca="false">DATE(VALUE(MID(SUBSTITUTE(Raw_Data!I59,"/","-"),7,4)),VALUE(MID(SUBSTITUTE(Raw_Data!I59,"/","-"),4,2)),VALUE(LEFT(SUBSTITUTE(Raw_Data!I59,"/","-"),2)))</f>
        <v>45743</v>
      </c>
      <c r="K59" s="2" t="str">
        <f aca="false">IF(COUNTIF(Raw_Data!$A$2:A59,Raw_Data!A59)&gt;1,"Duplicate - Remove","Keep")</f>
        <v>Keep</v>
      </c>
      <c r="L59" s="2" t="str">
        <f aca="false">IF(E59&lt;H59,"Reorder Needed","OK")</f>
        <v>OK</v>
      </c>
    </row>
    <row r="60" customFormat="false" ht="15" hidden="false" customHeight="false" outlineLevel="0" collapsed="false">
      <c r="A60" s="2" t="str">
        <f aca="false">Raw_Data!A60</f>
        <v>SKU1137</v>
      </c>
      <c r="B60" s="2" t="str">
        <f aca="false">TRIM(PROPER(Raw_Data!B60))</f>
        <v>Cutlery Set</v>
      </c>
      <c r="C60" s="2" t="str">
        <f aca="false">PROPER(TRIM(Raw_Data!C60))</f>
        <v>Kitchenware</v>
      </c>
      <c r="D60" s="2" t="str">
        <f aca="false">IF(ISNUMBER(SEARCH("north",Raw_Data!D60)),"WH-North",IF(ISNUMBER(SEARCH("south",Raw_Data!D60)),"WH-South",IF(ISNUMBER(SEARCH("east",Raw_Data!D60)),"WH-East",IF(ISNUMBER(SEARCH("west",Raw_Data!D60)),"WH-West","Unknown"))))</f>
        <v>WH-North</v>
      </c>
      <c r="E60" s="2" t="n">
        <f aca="false">IF(Raw_Data!E60&lt;0,0,Raw_Data!E60)</f>
        <v>115</v>
      </c>
      <c r="F60" s="2" t="str">
        <f aca="false">IF(Raw_Data!E60&lt;0,"Yes","No")</f>
        <v>No</v>
      </c>
      <c r="G60" s="2" t="n">
        <f aca="false">IF(Raw_Data!F60="",ROUND(AVERAGEIFS(Raw_Data!$F$2:$F$176,$C$2:$C$176,C60),2),Raw_Data!F60)</f>
        <v>2217.78</v>
      </c>
      <c r="H60" s="2" t="n">
        <f aca="false">Raw_Data!G60</f>
        <v>33</v>
      </c>
      <c r="I60" s="2" t="str">
        <f aca="false">IF(TRIM(Raw_Data!H60)="","Not Assigned",TRIM(Raw_Data!H60))</f>
        <v>Nova Wholesale</v>
      </c>
      <c r="J60" s="3" t="n">
        <f aca="false">DATE(VALUE(MID(SUBSTITUTE(Raw_Data!I60,"/","-"),7,4)),VALUE(MID(SUBSTITUTE(Raw_Data!I60,"/","-"),4,2)),VALUE(LEFT(SUBSTITUTE(Raw_Data!I60,"/","-"),2)))</f>
        <v>45793</v>
      </c>
      <c r="K60" s="2" t="str">
        <f aca="false">IF(COUNTIF(Raw_Data!$A$2:A60,Raw_Data!A60)&gt;1,"Duplicate - Remove","Keep")</f>
        <v>Keep</v>
      </c>
      <c r="L60" s="2" t="str">
        <f aca="false">IF(E60&lt;H60,"Reorder Needed","OK")</f>
        <v>OK</v>
      </c>
    </row>
    <row r="61" customFormat="false" ht="15" hidden="false" customHeight="false" outlineLevel="0" collapsed="false">
      <c r="A61" s="2" t="str">
        <f aca="false">Raw_Data!A61</f>
        <v>SKU1010</v>
      </c>
      <c r="B61" s="2" t="str">
        <f aca="false">TRIM(PROPER(Raw_Data!B61))</f>
        <v>Bluetooth Speaker</v>
      </c>
      <c r="C61" s="2" t="str">
        <f aca="false">PROPER(TRIM(Raw_Data!C61))</f>
        <v>Electronics</v>
      </c>
      <c r="D61" s="2" t="str">
        <f aca="false">IF(ISNUMBER(SEARCH("north",Raw_Data!D61)),"WH-North",IF(ISNUMBER(SEARCH("south",Raw_Data!D61)),"WH-South",IF(ISNUMBER(SEARCH("east",Raw_Data!D61)),"WH-East",IF(ISNUMBER(SEARCH("west",Raw_Data!D61)),"WH-West","Unknown"))))</f>
        <v>WH-South</v>
      </c>
      <c r="E61" s="2" t="n">
        <f aca="false">IF(Raw_Data!E61&lt;0,0,Raw_Data!E61)</f>
        <v>221</v>
      </c>
      <c r="F61" s="2" t="str">
        <f aca="false">IF(Raw_Data!E61&lt;0,"Yes","No")</f>
        <v>No</v>
      </c>
      <c r="G61" s="2" t="n">
        <f aca="false">IF(Raw_Data!F61="",ROUND(AVERAGEIFS(Raw_Data!$F$2:$F$176,$C$2:$C$176,C61),2),Raw_Data!F61)</f>
        <v>1569.83</v>
      </c>
      <c r="H61" s="2" t="n">
        <f aca="false">Raw_Data!G61</f>
        <v>29</v>
      </c>
      <c r="I61" s="2" t="str">
        <f aca="false">IF(TRIM(Raw_Data!H61)="","Not Assigned",TRIM(Raw_Data!H61))</f>
        <v>Fine Goods Pvt Ltd</v>
      </c>
      <c r="J61" s="3" t="n">
        <f aca="false">DATE(VALUE(MID(SUBSTITUTE(Raw_Data!I61,"/","-"),7,4)),VALUE(MID(SUBSTITUTE(Raw_Data!I61,"/","-"),4,2)),VALUE(LEFT(SUBSTITUTE(Raw_Data!I61,"/","-"),2)))</f>
        <v>45793</v>
      </c>
      <c r="K61" s="2" t="str">
        <f aca="false">IF(COUNTIF(Raw_Data!$A$2:A61,Raw_Data!A61)&gt;1,"Duplicate - Remove","Keep")</f>
        <v>Keep</v>
      </c>
      <c r="L61" s="2" t="str">
        <f aca="false">IF(E61&lt;H61,"Reorder Needed","OK")</f>
        <v>OK</v>
      </c>
    </row>
    <row r="62" customFormat="false" ht="15" hidden="false" customHeight="false" outlineLevel="0" collapsed="false">
      <c r="A62" s="2" t="str">
        <f aca="false">Raw_Data!A62</f>
        <v>SKU1027</v>
      </c>
      <c r="B62" s="2" t="str">
        <f aca="false">TRIM(PROPER(Raw_Data!B62))</f>
        <v>A4 Notebook 200Pg</v>
      </c>
      <c r="C62" s="2" t="str">
        <f aca="false">PROPER(TRIM(Raw_Data!C62))</f>
        <v>Stationery</v>
      </c>
      <c r="D62" s="2" t="str">
        <f aca="false">IF(ISNUMBER(SEARCH("north",Raw_Data!D62)),"WH-North",IF(ISNUMBER(SEARCH("south",Raw_Data!D62)),"WH-South",IF(ISNUMBER(SEARCH("east",Raw_Data!D62)),"WH-East",IF(ISNUMBER(SEARCH("west",Raw_Data!D62)),"WH-West","Unknown"))))</f>
        <v>WH-East</v>
      </c>
      <c r="E62" s="2" t="n">
        <f aca="false">IF(Raw_Data!E62&lt;0,0,Raw_Data!E62)</f>
        <v>140</v>
      </c>
      <c r="F62" s="2" t="str">
        <f aca="false">IF(Raw_Data!E62&lt;0,"Yes","No")</f>
        <v>No</v>
      </c>
      <c r="G62" s="2" t="n">
        <f aca="false">IF(Raw_Data!F62="",ROUND(AVERAGEIFS(Raw_Data!$F$2:$F$176,$C$2:$C$176,C62),2),Raw_Data!F62)</f>
        <v>472.79</v>
      </c>
      <c r="H62" s="2" t="n">
        <f aca="false">Raw_Data!G62</f>
        <v>27</v>
      </c>
      <c r="I62" s="2" t="str">
        <f aca="false">IF(TRIM(Raw_Data!H62)="","Not Assigned",TRIM(Raw_Data!H62))</f>
        <v>Global Supply Co</v>
      </c>
      <c r="J62" s="3" t="n">
        <f aca="false">DATE(VALUE(MID(SUBSTITUTE(Raw_Data!I62,"/","-"),7,4)),VALUE(MID(SUBSTITUTE(Raw_Data!I62,"/","-"),4,2)),VALUE(LEFT(SUBSTITUTE(Raw_Data!I62,"/","-"),2)))</f>
        <v>45727</v>
      </c>
      <c r="K62" s="2" t="str">
        <f aca="false">IF(COUNTIF(Raw_Data!$A$2:A62,Raw_Data!A62)&gt;1,"Duplicate - Remove","Keep")</f>
        <v>Keep</v>
      </c>
      <c r="L62" s="2" t="str">
        <f aca="false">IF(E62&lt;H62,"Reorder Needed","OK")</f>
        <v>OK</v>
      </c>
    </row>
    <row r="63" customFormat="false" ht="15" hidden="false" customHeight="false" outlineLevel="0" collapsed="false">
      <c r="A63" s="2" t="str">
        <f aca="false">Raw_Data!A63</f>
        <v>SKU1105</v>
      </c>
      <c r="B63" s="2" t="str">
        <f aca="false">TRIM(PROPER(Raw_Data!B63))</f>
        <v>Denim Jeans</v>
      </c>
      <c r="C63" s="2" t="str">
        <f aca="false">PROPER(TRIM(Raw_Data!C63))</f>
        <v>Apparel</v>
      </c>
      <c r="D63" s="2" t="str">
        <f aca="false">IF(ISNUMBER(SEARCH("north",Raw_Data!D63)),"WH-North",IF(ISNUMBER(SEARCH("south",Raw_Data!D63)),"WH-South",IF(ISNUMBER(SEARCH("east",Raw_Data!D63)),"WH-East",IF(ISNUMBER(SEARCH("west",Raw_Data!D63)),"WH-West","Unknown"))))</f>
        <v>WH-North</v>
      </c>
      <c r="E63" s="2" t="n">
        <f aca="false">IF(Raw_Data!E63&lt;0,0,Raw_Data!E63)</f>
        <v>225</v>
      </c>
      <c r="F63" s="2" t="str">
        <f aca="false">IF(Raw_Data!E63&lt;0,"Yes","No")</f>
        <v>No</v>
      </c>
      <c r="G63" s="2" t="n">
        <f aca="false">IF(Raw_Data!F63="",ROUND(AVERAGEIFS(Raw_Data!$F$2:$F$176,$C$2:$C$176,C63),2),Raw_Data!F63)</f>
        <v>2822.03</v>
      </c>
      <c r="H63" s="2" t="n">
        <f aca="false">Raw_Data!G63</f>
        <v>37</v>
      </c>
      <c r="I63" s="2" t="str">
        <f aca="false">IF(TRIM(Raw_Data!H63)="","Not Assigned",TRIM(Raw_Data!H63))</f>
        <v>Prime Vendors</v>
      </c>
      <c r="J63" s="3" t="n">
        <f aca="false">DATE(VALUE(MID(SUBSTITUTE(Raw_Data!I63,"/","-"),7,4)),VALUE(MID(SUBSTITUTE(Raw_Data!I63,"/","-"),4,2)),VALUE(LEFT(SUBSTITUTE(Raw_Data!I63,"/","-"),2)))</f>
        <v>45824</v>
      </c>
      <c r="K63" s="2" t="str">
        <f aca="false">IF(COUNTIF(Raw_Data!$A$2:A63,Raw_Data!A63)&gt;1,"Duplicate - Remove","Keep")</f>
        <v>Keep</v>
      </c>
      <c r="L63" s="2" t="str">
        <f aca="false">IF(E63&lt;H63,"Reorder Needed","OK")</f>
        <v>OK</v>
      </c>
    </row>
    <row r="64" customFormat="false" ht="15" hidden="false" customHeight="false" outlineLevel="0" collapsed="false">
      <c r="A64" s="2" t="str">
        <f aca="false">Raw_Data!A64</f>
        <v>SKU1029</v>
      </c>
      <c r="B64" s="2" t="str">
        <f aca="false">TRIM(PROPER(Raw_Data!B64))</f>
        <v>Sticky Notes Pack</v>
      </c>
      <c r="C64" s="2" t="str">
        <f aca="false">PROPER(TRIM(Raw_Data!C64))</f>
        <v>Stationery</v>
      </c>
      <c r="D64" s="2" t="str">
        <f aca="false">IF(ISNUMBER(SEARCH("north",Raw_Data!D64)),"WH-North",IF(ISNUMBER(SEARCH("south",Raw_Data!D64)),"WH-South",IF(ISNUMBER(SEARCH("east",Raw_Data!D64)),"WH-East",IF(ISNUMBER(SEARCH("west",Raw_Data!D64)),"WH-West","Unknown"))))</f>
        <v>WH-North</v>
      </c>
      <c r="E64" s="2" t="n">
        <f aca="false">IF(Raw_Data!E64&lt;0,0,Raw_Data!E64)</f>
        <v>139</v>
      </c>
      <c r="F64" s="2" t="str">
        <f aca="false">IF(Raw_Data!E64&lt;0,"Yes","No")</f>
        <v>No</v>
      </c>
      <c r="G64" s="2" t="n">
        <f aca="false">IF(Raw_Data!F64="",ROUND(AVERAGEIFS(Raw_Data!$F$2:$F$176,$C$2:$C$176,C64),2),Raw_Data!F64)</f>
        <v>1795.25</v>
      </c>
      <c r="H64" s="2" t="n">
        <f aca="false">Raw_Data!G64</f>
        <v>32</v>
      </c>
      <c r="I64" s="2" t="str">
        <f aca="false">IF(TRIM(Raw_Data!H64)="","Not Assigned",TRIM(Raw_Data!H64))</f>
        <v>Fine Goods Pvt Ltd</v>
      </c>
      <c r="J64" s="3" t="n">
        <f aca="false">DATE(VALUE(MID(SUBSTITUTE(Raw_Data!I64,"/","-"),7,4)),VALUE(MID(SUBSTITUTE(Raw_Data!I64,"/","-"),4,2)),VALUE(LEFT(SUBSTITUTE(Raw_Data!I64,"/","-"),2)))</f>
        <v>45801</v>
      </c>
      <c r="K64" s="2" t="str">
        <f aca="false">IF(COUNTIF(Raw_Data!$A$2:A64,Raw_Data!A64)&gt;1,"Duplicate - Remove","Keep")</f>
        <v>Keep</v>
      </c>
      <c r="L64" s="2" t="str">
        <f aca="false">IF(E64&lt;H64,"Reorder Needed","OK")</f>
        <v>OK</v>
      </c>
    </row>
    <row r="65" customFormat="false" ht="15" hidden="false" customHeight="false" outlineLevel="0" collapsed="false">
      <c r="A65" s="2" t="str">
        <f aca="false">Raw_Data!A65</f>
        <v>SKU1090</v>
      </c>
      <c r="B65" s="2" t="str">
        <f aca="false">TRIM(PROPER(Raw_Data!B65))</f>
        <v>Formal Shoes Men</v>
      </c>
      <c r="C65" s="2" t="str">
        <f aca="false">PROPER(TRIM(Raw_Data!C65))</f>
        <v>Footwear</v>
      </c>
      <c r="D65" s="2" t="str">
        <f aca="false">IF(ISNUMBER(SEARCH("north",Raw_Data!D65)),"WH-North",IF(ISNUMBER(SEARCH("south",Raw_Data!D65)),"WH-South",IF(ISNUMBER(SEARCH("east",Raw_Data!D65)),"WH-East",IF(ISNUMBER(SEARCH("west",Raw_Data!D65)),"WH-West","Unknown"))))</f>
        <v>WH-South</v>
      </c>
      <c r="E65" s="2" t="n">
        <f aca="false">IF(Raw_Data!E65&lt;0,0,Raw_Data!E65)</f>
        <v>133</v>
      </c>
      <c r="F65" s="2" t="str">
        <f aca="false">IF(Raw_Data!E65&lt;0,"Yes","No")</f>
        <v>No</v>
      </c>
      <c r="G65" s="2" t="n">
        <f aca="false">IF(Raw_Data!F65="",ROUND(AVERAGEIFS(Raw_Data!$F$2:$F$176,$C$2:$C$176,C65),2),Raw_Data!F65)</f>
        <v>2897.67</v>
      </c>
      <c r="H65" s="2" t="n">
        <f aca="false">Raw_Data!G65</f>
        <v>31</v>
      </c>
      <c r="I65" s="2" t="str">
        <f aca="false">IF(TRIM(Raw_Data!H65)="","Not Assigned",TRIM(Raw_Data!H65))</f>
        <v>Prime Vendors</v>
      </c>
      <c r="J65" s="3" t="n">
        <f aca="false">DATE(VALUE(MID(SUBSTITUTE(Raw_Data!I65,"/","-"),7,4)),VALUE(MID(SUBSTITUTE(Raw_Data!I65,"/","-"),4,2)),VALUE(LEFT(SUBSTITUTE(Raw_Data!I65,"/","-"),2)))</f>
        <v>45872</v>
      </c>
      <c r="K65" s="2" t="str">
        <f aca="false">IF(COUNTIF(Raw_Data!$A$2:A65,Raw_Data!A65)&gt;1,"Duplicate - Remove","Keep")</f>
        <v>Keep</v>
      </c>
      <c r="L65" s="2" t="str">
        <f aca="false">IF(E65&lt;H65,"Reorder Needed","OK")</f>
        <v>OK</v>
      </c>
    </row>
    <row r="66" customFormat="false" ht="15" hidden="false" customHeight="false" outlineLevel="0" collapsed="false">
      <c r="A66" s="2" t="str">
        <f aca="false">Raw_Data!A66</f>
        <v>SKU1133</v>
      </c>
      <c r="B66" s="2" t="str">
        <f aca="false">TRIM(PROPER(Raw_Data!B66))</f>
        <v>Water Bottle 1L</v>
      </c>
      <c r="C66" s="2" t="str">
        <f aca="false">PROPER(TRIM(Raw_Data!C66))</f>
        <v>Kitchenware</v>
      </c>
      <c r="D66" s="2" t="str">
        <f aca="false">IF(ISNUMBER(SEARCH("north",Raw_Data!D66)),"WH-North",IF(ISNUMBER(SEARCH("south",Raw_Data!D66)),"WH-South",IF(ISNUMBER(SEARCH("east",Raw_Data!D66)),"WH-East",IF(ISNUMBER(SEARCH("west",Raw_Data!D66)),"WH-West","Unknown"))))</f>
        <v>WH-North</v>
      </c>
      <c r="E66" s="2" t="n">
        <f aca="false">IF(Raw_Data!E66&lt;0,0,Raw_Data!E66)</f>
        <v>219</v>
      </c>
      <c r="F66" s="2" t="str">
        <f aca="false">IF(Raw_Data!E66&lt;0,"Yes","No")</f>
        <v>No</v>
      </c>
      <c r="G66" s="2" t="n">
        <f aca="false">IF(Raw_Data!F66="",ROUND(AVERAGEIFS(Raw_Data!$F$2:$F$176,$C$2:$C$176,C66),2),Raw_Data!F66)</f>
        <v>3276.72</v>
      </c>
      <c r="H66" s="2" t="n">
        <f aca="false">Raw_Data!G66</f>
        <v>35</v>
      </c>
      <c r="I66" s="2" t="str">
        <f aca="false">IF(TRIM(Raw_Data!H66)="","Not Assigned",TRIM(Raw_Data!H66))</f>
        <v>Nova Wholesale</v>
      </c>
      <c r="J66" s="3" t="n">
        <f aca="false">DATE(VALUE(MID(SUBSTITUTE(Raw_Data!I66,"/","-"),7,4)),VALUE(MID(SUBSTITUTE(Raw_Data!I66,"/","-"),4,2)),VALUE(LEFT(SUBSTITUTE(Raw_Data!I66,"/","-"),2)))</f>
        <v>45693</v>
      </c>
      <c r="K66" s="2" t="str">
        <f aca="false">IF(COUNTIF(Raw_Data!$A$2:A66,Raw_Data!A66)&gt;1,"Duplicate - Remove","Keep")</f>
        <v>Keep</v>
      </c>
      <c r="L66" s="2" t="str">
        <f aca="false">IF(E66&lt;H66,"Reorder Needed","OK")</f>
        <v>OK</v>
      </c>
    </row>
    <row r="67" customFormat="false" ht="15" hidden="false" customHeight="false" outlineLevel="0" collapsed="false">
      <c r="A67" s="2" t="str">
        <f aca="false">Raw_Data!A67</f>
        <v>SKU1086</v>
      </c>
      <c r="B67" s="2" t="str">
        <f aca="false">TRIM(PROPER(Raw_Data!B67))</f>
        <v>Sandals Women</v>
      </c>
      <c r="C67" s="2" t="str">
        <f aca="false">PROPER(TRIM(Raw_Data!C67))</f>
        <v>Footwear</v>
      </c>
      <c r="D67" s="2" t="str">
        <f aca="false">IF(ISNUMBER(SEARCH("north",Raw_Data!D67)),"WH-North",IF(ISNUMBER(SEARCH("south",Raw_Data!D67)),"WH-South",IF(ISNUMBER(SEARCH("east",Raw_Data!D67)),"WH-East",IF(ISNUMBER(SEARCH("west",Raw_Data!D67)),"WH-West","Unknown"))))</f>
        <v>WH-South</v>
      </c>
      <c r="E67" s="2" t="n">
        <f aca="false">IF(Raw_Data!E67&lt;0,0,Raw_Data!E67)</f>
        <v>128</v>
      </c>
      <c r="F67" s="2" t="str">
        <f aca="false">IF(Raw_Data!E67&lt;0,"Yes","No")</f>
        <v>No</v>
      </c>
      <c r="G67" s="2" t="n">
        <f aca="false">IF(Raw_Data!F67="",ROUND(AVERAGEIFS(Raw_Data!$F$2:$F$176,$C$2:$C$176,C67),2),Raw_Data!F67)</f>
        <v>2353.47</v>
      </c>
      <c r="H67" s="2" t="n">
        <f aca="false">Raw_Data!G67</f>
        <v>17</v>
      </c>
      <c r="I67" s="2" t="str">
        <f aca="false">IF(TRIM(Raw_Data!H67)="","Not Assigned",TRIM(Raw_Data!H67))</f>
        <v>Fine Goods Pvt Ltd</v>
      </c>
      <c r="J67" s="3" t="n">
        <f aca="false">DATE(VALUE(MID(SUBSTITUTE(Raw_Data!I67,"/","-"),7,4)),VALUE(MID(SUBSTITUTE(Raw_Data!I67,"/","-"),4,2)),VALUE(LEFT(SUBSTITUTE(Raw_Data!I67,"/","-"),2)))</f>
        <v>45821</v>
      </c>
      <c r="K67" s="2" t="str">
        <f aca="false">IF(COUNTIF(Raw_Data!$A$2:A67,Raw_Data!A67)&gt;1,"Duplicate - Remove","Keep")</f>
        <v>Keep</v>
      </c>
      <c r="L67" s="2" t="str">
        <f aca="false">IF(E67&lt;H67,"Reorder Needed","OK")</f>
        <v>OK</v>
      </c>
    </row>
    <row r="68" customFormat="false" ht="15" hidden="false" customHeight="false" outlineLevel="0" collapsed="false">
      <c r="A68" s="2" t="str">
        <f aca="false">Raw_Data!A68</f>
        <v>SKU1132</v>
      </c>
      <c r="B68" s="2" t="str">
        <f aca="false">TRIM(PROPER(Raw_Data!B68))</f>
        <v>Pressure Cooker 3L</v>
      </c>
      <c r="C68" s="2" t="str">
        <f aca="false">PROPER(TRIM(Raw_Data!C68))</f>
        <v>Kitchenware</v>
      </c>
      <c r="D68" s="2" t="str">
        <f aca="false">IF(ISNUMBER(SEARCH("north",Raw_Data!D68)),"WH-North",IF(ISNUMBER(SEARCH("south",Raw_Data!D68)),"WH-South",IF(ISNUMBER(SEARCH("east",Raw_Data!D68)),"WH-East",IF(ISNUMBER(SEARCH("west",Raw_Data!D68)),"WH-West","Unknown"))))</f>
        <v>WH-West</v>
      </c>
      <c r="E68" s="2" t="n">
        <f aca="false">IF(Raw_Data!E68&lt;0,0,Raw_Data!E68)</f>
        <v>127</v>
      </c>
      <c r="F68" s="2" t="str">
        <f aca="false">IF(Raw_Data!E68&lt;0,"Yes","No")</f>
        <v>No</v>
      </c>
      <c r="G68" s="2" t="n">
        <f aca="false">IF(Raw_Data!F68="",ROUND(AVERAGEIFS(Raw_Data!$F$2:$F$176,$C$2:$C$176,C68),2),Raw_Data!F68)</f>
        <v>3244.06</v>
      </c>
      <c r="H68" s="2" t="n">
        <f aca="false">Raw_Data!G68</f>
        <v>25</v>
      </c>
      <c r="I68" s="2" t="str">
        <f aca="false">IF(TRIM(Raw_Data!H68)="","Not Assigned",TRIM(Raw_Data!H68))</f>
        <v>Global Supply Co</v>
      </c>
      <c r="J68" s="3" t="n">
        <f aca="false">DATE(VALUE(MID(SUBSTITUTE(Raw_Data!I68,"/","-"),7,4)),VALUE(MID(SUBSTITUTE(Raw_Data!I68,"/","-"),4,2)),VALUE(LEFT(SUBSTITUTE(Raw_Data!I68,"/","-"),2)))</f>
        <v>45752</v>
      </c>
      <c r="K68" s="2" t="str">
        <f aca="false">IF(COUNTIF(Raw_Data!$A$2:A68,Raw_Data!A68)&gt;1,"Duplicate - Remove","Keep")</f>
        <v>Keep</v>
      </c>
      <c r="L68" s="2" t="str">
        <f aca="false">IF(E68&lt;H68,"Reorder Needed","OK")</f>
        <v>OK</v>
      </c>
    </row>
    <row r="69" customFormat="false" ht="15" hidden="false" customHeight="false" outlineLevel="0" collapsed="false">
      <c r="A69" s="2" t="str">
        <f aca="false">Raw_Data!A69</f>
        <v>SKU1032</v>
      </c>
      <c r="B69" s="2" t="str">
        <f aca="false">TRIM(PROPER(Raw_Data!B69))</f>
        <v>Sticky Notes Pack</v>
      </c>
      <c r="C69" s="2" t="str">
        <f aca="false">PROPER(TRIM(Raw_Data!C69))</f>
        <v>Stationery</v>
      </c>
      <c r="D69" s="2" t="str">
        <f aca="false">IF(ISNUMBER(SEARCH("north",Raw_Data!D69)),"WH-North",IF(ISNUMBER(SEARCH("south",Raw_Data!D69)),"WH-South",IF(ISNUMBER(SEARCH("east",Raw_Data!D69)),"WH-East",IF(ISNUMBER(SEARCH("west",Raw_Data!D69)),"WH-West","Unknown"))))</f>
        <v>WH-West</v>
      </c>
      <c r="E69" s="2" t="n">
        <f aca="false">IF(Raw_Data!E69&lt;0,0,Raw_Data!E69)</f>
        <v>95</v>
      </c>
      <c r="F69" s="2" t="str">
        <f aca="false">IF(Raw_Data!E69&lt;0,"Yes","No")</f>
        <v>No</v>
      </c>
      <c r="G69" s="2" t="n">
        <f aca="false">IF(Raw_Data!F69="",ROUND(AVERAGEIFS(Raw_Data!$F$2:$F$176,$C$2:$C$176,C69),2),Raw_Data!F69)</f>
        <v>147.91</v>
      </c>
      <c r="H69" s="2" t="n">
        <f aca="false">Raw_Data!G69</f>
        <v>33</v>
      </c>
      <c r="I69" s="2" t="str">
        <f aca="false">IF(TRIM(Raw_Data!H69)="","Not Assigned",TRIM(Raw_Data!H69))</f>
        <v>Metro Distributors</v>
      </c>
      <c r="J69" s="3" t="n">
        <f aca="false">DATE(VALUE(MID(SUBSTITUTE(Raw_Data!I69,"/","-"),7,4)),VALUE(MID(SUBSTITUTE(Raw_Data!I69,"/","-"),4,2)),VALUE(LEFT(SUBSTITUTE(Raw_Data!I69,"/","-"),2)))</f>
        <v>45858</v>
      </c>
      <c r="K69" s="2" t="str">
        <f aca="false">IF(COUNTIF(Raw_Data!$A$2:A69,Raw_Data!A69)&gt;1,"Duplicate - Remove","Keep")</f>
        <v>Keep</v>
      </c>
      <c r="L69" s="2" t="str">
        <f aca="false">IF(E69&lt;H69,"Reorder Needed","OK")</f>
        <v>OK</v>
      </c>
    </row>
    <row r="70" customFormat="false" ht="15" hidden="false" customHeight="false" outlineLevel="0" collapsed="false">
      <c r="A70" s="2" t="str">
        <f aca="false">Raw_Data!A70</f>
        <v>SKU1140</v>
      </c>
      <c r="B70" s="2" t="str">
        <f aca="false">TRIM(PROPER(Raw_Data!B70))</f>
        <v>Cutlery Set</v>
      </c>
      <c r="C70" s="2" t="str">
        <f aca="false">PROPER(TRIM(Raw_Data!C70))</f>
        <v>Kitchenware</v>
      </c>
      <c r="D70" s="2" t="str">
        <f aca="false">IF(ISNUMBER(SEARCH("north",Raw_Data!D70)),"WH-North",IF(ISNUMBER(SEARCH("south",Raw_Data!D70)),"WH-South",IF(ISNUMBER(SEARCH("east",Raw_Data!D70)),"WH-East",IF(ISNUMBER(SEARCH("west",Raw_Data!D70)),"WH-West","Unknown"))))</f>
        <v>WH-West</v>
      </c>
      <c r="E70" s="2" t="n">
        <f aca="false">IF(Raw_Data!E70&lt;0,0,Raw_Data!E70)</f>
        <v>196</v>
      </c>
      <c r="F70" s="2" t="str">
        <f aca="false">IF(Raw_Data!E70&lt;0,"Yes","No")</f>
        <v>No</v>
      </c>
      <c r="G70" s="2" t="n">
        <f aca="false">IF(Raw_Data!F70="",ROUND(AVERAGEIFS(Raw_Data!$F$2:$F$176,$C$2:$C$176,C70),2),Raw_Data!F70)</f>
        <v>114.16</v>
      </c>
      <c r="H70" s="2" t="n">
        <f aca="false">Raw_Data!G70</f>
        <v>35</v>
      </c>
      <c r="I70" s="2" t="str">
        <f aca="false">IF(TRIM(Raw_Data!H70)="","Not Assigned",TRIM(Raw_Data!H70))</f>
        <v>Sharma Traders</v>
      </c>
      <c r="J70" s="3" t="n">
        <f aca="false">DATE(VALUE(MID(SUBSTITUTE(Raw_Data!I70,"/","-"),7,4)),VALUE(MID(SUBSTITUTE(Raw_Data!I70,"/","-"),4,2)),VALUE(LEFT(SUBSTITUTE(Raw_Data!I70,"/","-"),2)))</f>
        <v>45746</v>
      </c>
      <c r="K70" s="2" t="str">
        <f aca="false">IF(COUNTIF(Raw_Data!$A$2:A70,Raw_Data!A70)&gt;1,"Duplicate - Remove","Keep")</f>
        <v>Keep</v>
      </c>
      <c r="L70" s="2" t="str">
        <f aca="false">IF(E70&lt;H70,"Reorder Needed","OK")</f>
        <v>OK</v>
      </c>
    </row>
    <row r="71" customFormat="false" ht="15" hidden="false" customHeight="false" outlineLevel="0" collapsed="false">
      <c r="A71" s="2" t="str">
        <f aca="false">Raw_Data!A71</f>
        <v>SKU1049</v>
      </c>
      <c r="B71" s="2" t="str">
        <f aca="false">TRIM(PROPER(Raw_Data!B71))</f>
        <v>Mixer Grinder 500W</v>
      </c>
      <c r="C71" s="2" t="str">
        <f aca="false">PROPER(TRIM(Raw_Data!C71))</f>
        <v>Home Appliances</v>
      </c>
      <c r="D71" s="2" t="str">
        <f aca="false">IF(ISNUMBER(SEARCH("north",Raw_Data!D71)),"WH-North",IF(ISNUMBER(SEARCH("south",Raw_Data!D71)),"WH-South",IF(ISNUMBER(SEARCH("east",Raw_Data!D71)),"WH-East",IF(ISNUMBER(SEARCH("west",Raw_Data!D71)),"WH-West","Unknown"))))</f>
        <v>WH-North</v>
      </c>
      <c r="E71" s="2" t="n">
        <f aca="false">IF(Raw_Data!E71&lt;0,0,Raw_Data!E71)</f>
        <v>89</v>
      </c>
      <c r="F71" s="2" t="str">
        <f aca="false">IF(Raw_Data!E71&lt;0,"Yes","No")</f>
        <v>No</v>
      </c>
      <c r="G71" s="2" t="n">
        <f aca="false">IF(Raw_Data!F71="",ROUND(AVERAGEIFS(Raw_Data!$F$2:$F$176,$C$2:$C$176,C71),2),Raw_Data!F71)</f>
        <v>3682.19</v>
      </c>
      <c r="H71" s="2" t="n">
        <f aca="false">Raw_Data!G71</f>
        <v>29</v>
      </c>
      <c r="I71" s="2" t="str">
        <f aca="false">IF(TRIM(Raw_Data!H71)="","Not Assigned",TRIM(Raw_Data!H71))</f>
        <v>Nova Wholesale</v>
      </c>
      <c r="J71" s="3" t="n">
        <f aca="false">DATE(VALUE(MID(SUBSTITUTE(Raw_Data!I71,"/","-"),7,4)),VALUE(MID(SUBSTITUTE(Raw_Data!I71,"/","-"),4,2)),VALUE(LEFT(SUBSTITUTE(Raw_Data!I71,"/","-"),2)))</f>
        <v>45664</v>
      </c>
      <c r="K71" s="2" t="str">
        <f aca="false">IF(COUNTIF(Raw_Data!$A$2:A71,Raw_Data!A71)&gt;1,"Duplicate - Remove","Keep")</f>
        <v>Keep</v>
      </c>
      <c r="L71" s="2" t="str">
        <f aca="false">IF(E71&lt;H71,"Reorder Needed","OK")</f>
        <v>OK</v>
      </c>
    </row>
    <row r="72" customFormat="false" ht="15" hidden="false" customHeight="false" outlineLevel="0" collapsed="false">
      <c r="A72" s="2" t="str">
        <f aca="false">Raw_Data!A72</f>
        <v>SKU1075</v>
      </c>
      <c r="B72" s="2" t="str">
        <f aca="false">TRIM(PROPER(Raw_Data!B72))</f>
        <v>Study Table</v>
      </c>
      <c r="C72" s="2" t="str">
        <f aca="false">PROPER(TRIM(Raw_Data!C72))</f>
        <v>Furniture</v>
      </c>
      <c r="D72" s="2" t="str">
        <f aca="false">IF(ISNUMBER(SEARCH("north",Raw_Data!D72)),"WH-North",IF(ISNUMBER(SEARCH("south",Raw_Data!D72)),"WH-South",IF(ISNUMBER(SEARCH("east",Raw_Data!D72)),"WH-East",IF(ISNUMBER(SEARCH("west",Raw_Data!D72)),"WH-West","Unknown"))))</f>
        <v>WH-East</v>
      </c>
      <c r="E72" s="2" t="n">
        <f aca="false">IF(Raw_Data!E72&lt;0,0,Raw_Data!E72)</f>
        <v>260</v>
      </c>
      <c r="F72" s="2" t="str">
        <f aca="false">IF(Raw_Data!E72&lt;0,"Yes","No")</f>
        <v>No</v>
      </c>
      <c r="G72" s="2" t="n">
        <f aca="false">IF(Raw_Data!F72="",ROUND(AVERAGEIFS(Raw_Data!$F$2:$F$176,$C$2:$C$176,C72),2),Raw_Data!F72)</f>
        <v>1780.89</v>
      </c>
      <c r="H72" s="2" t="n">
        <f aca="false">Raw_Data!G72</f>
        <v>16</v>
      </c>
      <c r="I72" s="2" t="str">
        <f aca="false">IF(TRIM(Raw_Data!H72)="","Not Assigned",TRIM(Raw_Data!H72))</f>
        <v>Metro Distributors</v>
      </c>
      <c r="J72" s="3" t="n">
        <f aca="false">DATE(VALUE(MID(SUBSTITUTE(Raw_Data!I72,"/","-"),7,4)),VALUE(MID(SUBSTITUTE(Raw_Data!I72,"/","-"),4,2)),VALUE(LEFT(SUBSTITUTE(Raw_Data!I72,"/","-"),2)))</f>
        <v>45798</v>
      </c>
      <c r="K72" s="2" t="str">
        <f aca="false">IF(COUNTIF(Raw_Data!$A$2:A72,Raw_Data!A72)&gt;1,"Duplicate - Remove","Keep")</f>
        <v>Keep</v>
      </c>
      <c r="L72" s="2" t="str">
        <f aca="false">IF(E72&lt;H72,"Reorder Needed","OK")</f>
        <v>OK</v>
      </c>
    </row>
    <row r="73" customFormat="false" ht="15" hidden="false" customHeight="false" outlineLevel="0" collapsed="false">
      <c r="A73" s="2" t="str">
        <f aca="false">Raw_Data!A73</f>
        <v>SKU1022</v>
      </c>
      <c r="B73" s="2" t="str">
        <f aca="false">TRIM(PROPER(Raw_Data!B73))</f>
        <v>Gel Pen Blue</v>
      </c>
      <c r="C73" s="2" t="str">
        <f aca="false">PROPER(TRIM(Raw_Data!C73))</f>
        <v>Stationery</v>
      </c>
      <c r="D73" s="2" t="str">
        <f aca="false">IF(ISNUMBER(SEARCH("north",Raw_Data!D73)),"WH-North",IF(ISNUMBER(SEARCH("south",Raw_Data!D73)),"WH-South",IF(ISNUMBER(SEARCH("east",Raw_Data!D73)),"WH-East",IF(ISNUMBER(SEARCH("west",Raw_Data!D73)),"WH-West","Unknown"))))</f>
        <v>WH-South</v>
      </c>
      <c r="E73" s="2" t="n">
        <f aca="false">IF(Raw_Data!E73&lt;0,0,Raw_Data!E73)</f>
        <v>282</v>
      </c>
      <c r="F73" s="2" t="str">
        <f aca="false">IF(Raw_Data!E73&lt;0,"Yes","No")</f>
        <v>No</v>
      </c>
      <c r="G73" s="2" t="n">
        <f aca="false">IF(Raw_Data!F73="",ROUND(AVERAGEIFS(Raw_Data!$F$2:$F$176,$C$2:$C$176,C73),2),Raw_Data!F73)</f>
        <v>1288.74</v>
      </c>
      <c r="H73" s="2" t="n">
        <f aca="false">Raw_Data!G73</f>
        <v>11</v>
      </c>
      <c r="I73" s="2" t="str">
        <f aca="false">IF(TRIM(Raw_Data!H73)="","Not Assigned",TRIM(Raw_Data!H73))</f>
        <v>Nova Wholesale</v>
      </c>
      <c r="J73" s="3" t="n">
        <f aca="false">DATE(VALUE(MID(SUBSTITUTE(Raw_Data!I73,"/","-"),7,4)),VALUE(MID(SUBSTITUTE(Raw_Data!I73,"/","-"),4,2)),VALUE(LEFT(SUBSTITUTE(Raw_Data!I73,"/","-"),2)))</f>
        <v>45780</v>
      </c>
      <c r="K73" s="2" t="str">
        <f aca="false">IF(COUNTIF(Raw_Data!$A$2:A73,Raw_Data!A73)&gt;1,"Duplicate - Remove","Keep")</f>
        <v>Keep</v>
      </c>
      <c r="L73" s="2" t="str">
        <f aca="false">IF(E73&lt;H73,"Reorder Needed","OK")</f>
        <v>OK</v>
      </c>
    </row>
    <row r="74" customFormat="false" ht="15" hidden="false" customHeight="false" outlineLevel="0" collapsed="false">
      <c r="A74" s="2" t="str">
        <f aca="false">Raw_Data!A74</f>
        <v>SKU1158</v>
      </c>
      <c r="B74" s="2" t="str">
        <f aca="false">TRIM(PROPER(Raw_Data!B74))</f>
        <v>Board Game</v>
      </c>
      <c r="C74" s="2" t="str">
        <f aca="false">PROPER(TRIM(Raw_Data!C74))</f>
        <v>Toys</v>
      </c>
      <c r="D74" s="2" t="str">
        <f aca="false">IF(ISNUMBER(SEARCH("north",Raw_Data!D74)),"WH-North",IF(ISNUMBER(SEARCH("south",Raw_Data!D74)),"WH-South",IF(ISNUMBER(SEARCH("east",Raw_Data!D74)),"WH-East",IF(ISNUMBER(SEARCH("west",Raw_Data!D74)),"WH-West","Unknown"))))</f>
        <v>WH-South</v>
      </c>
      <c r="E74" s="2" t="n">
        <f aca="false">IF(Raw_Data!E74&lt;0,0,Raw_Data!E74)</f>
        <v>140</v>
      </c>
      <c r="F74" s="2" t="str">
        <f aca="false">IF(Raw_Data!E74&lt;0,"Yes","No")</f>
        <v>No</v>
      </c>
      <c r="G74" s="2" t="n">
        <f aca="false">IF(Raw_Data!F74="",ROUND(AVERAGEIFS(Raw_Data!$F$2:$F$176,$C$2:$C$176,C74),2),Raw_Data!F74)</f>
        <v>3079.49</v>
      </c>
      <c r="H74" s="2" t="n">
        <f aca="false">Raw_Data!G74</f>
        <v>23</v>
      </c>
      <c r="I74" s="2" t="str">
        <f aca="false">IF(TRIM(Raw_Data!H74)="","Not Assigned",TRIM(Raw_Data!H74))</f>
        <v>Nova Wholesale</v>
      </c>
      <c r="J74" s="3" t="n">
        <f aca="false">DATE(VALUE(MID(SUBSTITUTE(Raw_Data!I74,"/","-"),7,4)),VALUE(MID(SUBSTITUTE(Raw_Data!I74,"/","-"),4,2)),VALUE(LEFT(SUBSTITUTE(Raw_Data!I74,"/","-"),2)))</f>
        <v>45821</v>
      </c>
      <c r="K74" s="2" t="str">
        <f aca="false">IF(COUNTIF(Raw_Data!$A$2:A74,Raw_Data!A74)&gt;1,"Duplicate - Remove","Keep")</f>
        <v>Duplicate - Remove</v>
      </c>
      <c r="L74" s="2" t="str">
        <f aca="false">IF(E74&lt;H74,"Reorder Needed","OK")</f>
        <v>OK</v>
      </c>
    </row>
    <row r="75" customFormat="false" ht="15" hidden="false" customHeight="false" outlineLevel="0" collapsed="false">
      <c r="A75" s="2" t="str">
        <f aca="false">Raw_Data!A75</f>
        <v>SKU1007</v>
      </c>
      <c r="B75" s="2" t="str">
        <f aca="false">TRIM(PROPER(Raw_Data!B75))</f>
        <v>Usb Cable Type-C</v>
      </c>
      <c r="C75" s="2" t="str">
        <f aca="false">PROPER(TRIM(Raw_Data!C75))</f>
        <v>Electronics</v>
      </c>
      <c r="D75" s="2" t="str">
        <f aca="false">IF(ISNUMBER(SEARCH("north",Raw_Data!D75)),"WH-North",IF(ISNUMBER(SEARCH("south",Raw_Data!D75)),"WH-South",IF(ISNUMBER(SEARCH("east",Raw_Data!D75)),"WH-East",IF(ISNUMBER(SEARCH("west",Raw_Data!D75)),"WH-West","Unknown"))))</f>
        <v>WH-East</v>
      </c>
      <c r="E75" s="2" t="n">
        <f aca="false">IF(Raw_Data!E75&lt;0,0,Raw_Data!E75)</f>
        <v>290</v>
      </c>
      <c r="F75" s="2" t="str">
        <f aca="false">IF(Raw_Data!E75&lt;0,"Yes","No")</f>
        <v>No</v>
      </c>
      <c r="G75" s="2" t="n">
        <f aca="false">IF(Raw_Data!F75="",ROUND(AVERAGEIFS(Raw_Data!$F$2:$F$176,$C$2:$C$176,C75),2),Raw_Data!F75)</f>
        <v>1330.92</v>
      </c>
      <c r="H75" s="2" t="n">
        <f aca="false">Raw_Data!G75</f>
        <v>34</v>
      </c>
      <c r="I75" s="2" t="str">
        <f aca="false">IF(TRIM(Raw_Data!H75)="","Not Assigned",TRIM(Raw_Data!H75))</f>
        <v>Sharma Traders</v>
      </c>
      <c r="J75" s="3" t="n">
        <f aca="false">DATE(VALUE(MID(SUBSTITUTE(Raw_Data!I75,"/","-"),7,4)),VALUE(MID(SUBSTITUTE(Raw_Data!I75,"/","-"),4,2)),VALUE(LEFT(SUBSTITUTE(Raw_Data!I75,"/","-"),2)))</f>
        <v>45716</v>
      </c>
      <c r="K75" s="2" t="str">
        <f aca="false">IF(COUNTIF(Raw_Data!$A$2:A75,Raw_Data!A75)&gt;1,"Duplicate - Remove","Keep")</f>
        <v>Keep</v>
      </c>
      <c r="L75" s="2" t="str">
        <f aca="false">IF(E75&lt;H75,"Reorder Needed","OK")</f>
        <v>OK</v>
      </c>
    </row>
    <row r="76" customFormat="false" ht="15" hidden="false" customHeight="false" outlineLevel="0" collapsed="false">
      <c r="A76" s="2" t="str">
        <f aca="false">Raw_Data!A76</f>
        <v>SKU1030</v>
      </c>
      <c r="B76" s="2" t="str">
        <f aca="false">TRIM(PROPER(Raw_Data!B76))</f>
        <v>Sticky Notes Pack</v>
      </c>
      <c r="C76" s="2" t="str">
        <f aca="false">PROPER(TRIM(Raw_Data!C76))</f>
        <v>Stationery</v>
      </c>
      <c r="D76" s="2" t="str">
        <f aca="false">IF(ISNUMBER(SEARCH("north",Raw_Data!D76)),"WH-North",IF(ISNUMBER(SEARCH("south",Raw_Data!D76)),"WH-South",IF(ISNUMBER(SEARCH("east",Raw_Data!D76)),"WH-East",IF(ISNUMBER(SEARCH("west",Raw_Data!D76)),"WH-West","Unknown"))))</f>
        <v>WH-South</v>
      </c>
      <c r="E76" s="2" t="n">
        <f aca="false">IF(Raw_Data!E76&lt;0,0,Raw_Data!E76)</f>
        <v>23</v>
      </c>
      <c r="F76" s="2" t="str">
        <f aca="false">IF(Raw_Data!E76&lt;0,"Yes","No")</f>
        <v>No</v>
      </c>
      <c r="G76" s="2" t="n">
        <f aca="false">IF(Raw_Data!F76="",ROUND(AVERAGEIFS(Raw_Data!$F$2:$F$176,$C$2:$C$176,C76),2),Raw_Data!F76)</f>
        <v>2350.91</v>
      </c>
      <c r="H76" s="2" t="n">
        <f aca="false">Raw_Data!G76</f>
        <v>14</v>
      </c>
      <c r="I76" s="2" t="str">
        <f aca="false">IF(TRIM(Raw_Data!H76)="","Not Assigned",TRIM(Raw_Data!H76))</f>
        <v>Fine Goods Pvt Ltd</v>
      </c>
      <c r="J76" s="3" t="n">
        <f aca="false">DATE(VALUE(MID(SUBSTITUTE(Raw_Data!I76,"/","-"),7,4)),VALUE(MID(SUBSTITUTE(Raw_Data!I76,"/","-"),4,2)),VALUE(LEFT(SUBSTITUTE(Raw_Data!I76,"/","-"),2)))</f>
        <v>45690</v>
      </c>
      <c r="K76" s="2" t="str">
        <f aca="false">IF(COUNTIF(Raw_Data!$A$2:A76,Raw_Data!A76)&gt;1,"Duplicate - Remove","Keep")</f>
        <v>Keep</v>
      </c>
      <c r="L76" s="2" t="str">
        <f aca="false">IF(E76&lt;H76,"Reorder Needed","OK")</f>
        <v>OK</v>
      </c>
    </row>
    <row r="77" customFormat="false" ht="15" hidden="false" customHeight="false" outlineLevel="0" collapsed="false">
      <c r="A77" s="2" t="str">
        <f aca="false">Raw_Data!A77</f>
        <v>SKU1141</v>
      </c>
      <c r="B77" s="2" t="str">
        <f aca="false">TRIM(PROPER(Raw_Data!B77))</f>
        <v>Building Blocks Set</v>
      </c>
      <c r="C77" s="2" t="str">
        <f aca="false">PROPER(TRIM(Raw_Data!C77))</f>
        <v>Toys</v>
      </c>
      <c r="D77" s="2" t="str">
        <f aca="false">IF(ISNUMBER(SEARCH("north",Raw_Data!D77)),"WH-North",IF(ISNUMBER(SEARCH("south",Raw_Data!D77)),"WH-South",IF(ISNUMBER(SEARCH("east",Raw_Data!D77)),"WH-East",IF(ISNUMBER(SEARCH("west",Raw_Data!D77)),"WH-West","Unknown"))))</f>
        <v>WH-North</v>
      </c>
      <c r="E77" s="2" t="n">
        <f aca="false">IF(Raw_Data!E77&lt;0,0,Raw_Data!E77)</f>
        <v>94</v>
      </c>
      <c r="F77" s="2" t="str">
        <f aca="false">IF(Raw_Data!E77&lt;0,"Yes","No")</f>
        <v>No</v>
      </c>
      <c r="G77" s="2" t="n">
        <f aca="false">IF(Raw_Data!F77="",ROUND(AVERAGEIFS(Raw_Data!$F$2:$F$176,$C$2:$C$176,C77),2),Raw_Data!F77)</f>
        <v>1712.51</v>
      </c>
      <c r="H77" s="2" t="n">
        <f aca="false">Raw_Data!G77</f>
        <v>32</v>
      </c>
      <c r="I77" s="2" t="str">
        <f aca="false">IF(TRIM(Raw_Data!H77)="","Not Assigned",TRIM(Raw_Data!H77))</f>
        <v>Fine Goods Pvt Ltd</v>
      </c>
      <c r="J77" s="3" t="n">
        <f aca="false">DATE(VALUE(MID(SUBSTITUTE(Raw_Data!I77,"/","-"),7,4)),VALUE(MID(SUBSTITUTE(Raw_Data!I77,"/","-"),4,2)),VALUE(LEFT(SUBSTITUTE(Raw_Data!I77,"/","-"),2)))</f>
        <v>45819</v>
      </c>
      <c r="K77" s="2" t="str">
        <f aca="false">IF(COUNTIF(Raw_Data!$A$2:A77,Raw_Data!A77)&gt;1,"Duplicate - Remove","Keep")</f>
        <v>Keep</v>
      </c>
      <c r="L77" s="2" t="str">
        <f aca="false">IF(E77&lt;H77,"Reorder Needed","OK")</f>
        <v>OK</v>
      </c>
    </row>
    <row r="78" customFormat="false" ht="15" hidden="false" customHeight="false" outlineLevel="0" collapsed="false">
      <c r="A78" s="2" t="str">
        <f aca="false">Raw_Data!A78</f>
        <v>SKU1084</v>
      </c>
      <c r="B78" s="2" t="str">
        <f aca="false">TRIM(PROPER(Raw_Data!B78))</f>
        <v>Running Shoes Men</v>
      </c>
      <c r="C78" s="2" t="str">
        <f aca="false">PROPER(TRIM(Raw_Data!C78))</f>
        <v>Footwear</v>
      </c>
      <c r="D78" s="2" t="str">
        <f aca="false">IF(ISNUMBER(SEARCH("north",Raw_Data!D78)),"WH-North",IF(ISNUMBER(SEARCH("south",Raw_Data!D78)),"WH-South",IF(ISNUMBER(SEARCH("east",Raw_Data!D78)),"WH-East",IF(ISNUMBER(SEARCH("west",Raw_Data!D78)),"WH-West","Unknown"))))</f>
        <v>WH-West</v>
      </c>
      <c r="E78" s="2" t="n">
        <f aca="false">IF(Raw_Data!E78&lt;0,0,Raw_Data!E78)</f>
        <v>121</v>
      </c>
      <c r="F78" s="2" t="str">
        <f aca="false">IF(Raw_Data!E78&lt;0,"Yes","No")</f>
        <v>No</v>
      </c>
      <c r="G78" s="2" t="n">
        <f aca="false">IF(Raw_Data!F78="",ROUND(AVERAGEIFS(Raw_Data!$F$2:$F$176,$C$2:$C$176,C78),2),Raw_Data!F78)</f>
        <v>1877.7</v>
      </c>
      <c r="H78" s="2" t="n">
        <f aca="false">Raw_Data!G78</f>
        <v>13</v>
      </c>
      <c r="I78" s="2" t="str">
        <f aca="false">IF(TRIM(Raw_Data!H78)="","Not Assigned",TRIM(Raw_Data!H78))</f>
        <v>Prime Vendors</v>
      </c>
      <c r="J78" s="3" t="n">
        <f aca="false">DATE(VALUE(MID(SUBSTITUTE(Raw_Data!I78,"/","-"),7,4)),VALUE(MID(SUBSTITUTE(Raw_Data!I78,"/","-"),4,2)),VALUE(LEFT(SUBSTITUTE(Raw_Data!I78,"/","-"),2)))</f>
        <v>45838</v>
      </c>
      <c r="K78" s="2" t="str">
        <f aca="false">IF(COUNTIF(Raw_Data!$A$2:A78,Raw_Data!A78)&gt;1,"Duplicate - Remove","Keep")</f>
        <v>Duplicate - Remove</v>
      </c>
      <c r="L78" s="2" t="str">
        <f aca="false">IF(E78&lt;H78,"Reorder Needed","OK")</f>
        <v>OK</v>
      </c>
    </row>
    <row r="79" customFormat="false" ht="15" hidden="false" customHeight="false" outlineLevel="0" collapsed="false">
      <c r="A79" s="2" t="str">
        <f aca="false">Raw_Data!A79</f>
        <v>SKU1034</v>
      </c>
      <c r="B79" s="2" t="str">
        <f aca="false">TRIM(PROPER(Raw_Data!B79))</f>
        <v>Whiteboard Marker</v>
      </c>
      <c r="C79" s="2" t="str">
        <f aca="false">PROPER(TRIM(Raw_Data!C79))</f>
        <v>Stationery</v>
      </c>
      <c r="D79" s="2" t="str">
        <f aca="false">IF(ISNUMBER(SEARCH("north",Raw_Data!D79)),"WH-North",IF(ISNUMBER(SEARCH("south",Raw_Data!D79)),"WH-South",IF(ISNUMBER(SEARCH("east",Raw_Data!D79)),"WH-East",IF(ISNUMBER(SEARCH("west",Raw_Data!D79)),"WH-West","Unknown"))))</f>
        <v>WH-South</v>
      </c>
      <c r="E79" s="2" t="n">
        <f aca="false">IF(Raw_Data!E79&lt;0,0,Raw_Data!E79)</f>
        <v>40</v>
      </c>
      <c r="F79" s="2" t="str">
        <f aca="false">IF(Raw_Data!E79&lt;0,"Yes","No")</f>
        <v>No</v>
      </c>
      <c r="G79" s="2" t="n">
        <f aca="false">IF(Raw_Data!F79="",ROUND(AVERAGEIFS(Raw_Data!$F$2:$F$176,$C$2:$C$176,C79),2),Raw_Data!F79)</f>
        <v>1152.54</v>
      </c>
      <c r="H79" s="2" t="n">
        <f aca="false">Raw_Data!G79</f>
        <v>30</v>
      </c>
      <c r="I79" s="2" t="str">
        <f aca="false">IF(TRIM(Raw_Data!H79)="","Not Assigned",TRIM(Raw_Data!H79))</f>
        <v>Nova Wholesale</v>
      </c>
      <c r="J79" s="3" t="n">
        <f aca="false">DATE(VALUE(MID(SUBSTITUTE(Raw_Data!I79,"/","-"),7,4)),VALUE(MID(SUBSTITUTE(Raw_Data!I79,"/","-"),4,2)),VALUE(LEFT(SUBSTITUTE(Raw_Data!I79,"/","-"),2)))</f>
        <v>45760</v>
      </c>
      <c r="K79" s="2" t="str">
        <f aca="false">IF(COUNTIF(Raw_Data!$A$2:A79,Raw_Data!A79)&gt;1,"Duplicate - Remove","Keep")</f>
        <v>Keep</v>
      </c>
      <c r="L79" s="2" t="str">
        <f aca="false">IF(E79&lt;H79,"Reorder Needed","OK")</f>
        <v>OK</v>
      </c>
    </row>
    <row r="80" customFormat="false" ht="15" hidden="false" customHeight="false" outlineLevel="0" collapsed="false">
      <c r="A80" s="2" t="str">
        <f aca="false">Raw_Data!A80</f>
        <v>SKU1129</v>
      </c>
      <c r="B80" s="2" t="str">
        <f aca="false">TRIM(PROPER(Raw_Data!B80))</f>
        <v>Pressure Cooker 3L</v>
      </c>
      <c r="C80" s="2" t="str">
        <f aca="false">PROPER(TRIM(Raw_Data!C80))</f>
        <v>Kitchenware</v>
      </c>
      <c r="D80" s="2" t="str">
        <f aca="false">IF(ISNUMBER(SEARCH("north",Raw_Data!D80)),"WH-North",IF(ISNUMBER(SEARCH("south",Raw_Data!D80)),"WH-South",IF(ISNUMBER(SEARCH("east",Raw_Data!D80)),"WH-East",IF(ISNUMBER(SEARCH("west",Raw_Data!D80)),"WH-West","Unknown"))))</f>
        <v>WH-North</v>
      </c>
      <c r="E80" s="2" t="n">
        <f aca="false">IF(Raw_Data!E80&lt;0,0,Raw_Data!E80)</f>
        <v>114</v>
      </c>
      <c r="F80" s="2" t="str">
        <f aca="false">IF(Raw_Data!E80&lt;0,"Yes","No")</f>
        <v>No</v>
      </c>
      <c r="G80" s="2" t="n">
        <f aca="false">IF(Raw_Data!F80="",ROUND(AVERAGEIFS(Raw_Data!$F$2:$F$176,$C$2:$C$176,C80),2),Raw_Data!F80)</f>
        <v>3076.32</v>
      </c>
      <c r="H80" s="2" t="n">
        <f aca="false">Raw_Data!G80</f>
        <v>16</v>
      </c>
      <c r="I80" s="2" t="str">
        <f aca="false">IF(TRIM(Raw_Data!H80)="","Not Assigned",TRIM(Raw_Data!H80))</f>
        <v>Global Supply Co</v>
      </c>
      <c r="J80" s="3" t="n">
        <f aca="false">DATE(VALUE(MID(SUBSTITUTE(Raw_Data!I80,"/","-"),7,4)),VALUE(MID(SUBSTITUTE(Raw_Data!I80,"/","-"),4,2)),VALUE(LEFT(SUBSTITUTE(Raw_Data!I80,"/","-"),2)))</f>
        <v>45693</v>
      </c>
      <c r="K80" s="2" t="str">
        <f aca="false">IF(COUNTIF(Raw_Data!$A$2:A80,Raw_Data!A80)&gt;1,"Duplicate - Remove","Keep")</f>
        <v>Keep</v>
      </c>
      <c r="L80" s="2" t="str">
        <f aca="false">IF(E80&lt;H80,"Reorder Needed","OK")</f>
        <v>OK</v>
      </c>
    </row>
    <row r="81" customFormat="false" ht="15" hidden="false" customHeight="false" outlineLevel="0" collapsed="false">
      <c r="A81" s="2" t="str">
        <f aca="false">Raw_Data!A81</f>
        <v>SKU1077</v>
      </c>
      <c r="B81" s="2" t="str">
        <f aca="false">TRIM(PROPER(Raw_Data!B81))</f>
        <v>Storage Rack</v>
      </c>
      <c r="C81" s="2" t="str">
        <f aca="false">PROPER(TRIM(Raw_Data!C81))</f>
        <v>Furniture</v>
      </c>
      <c r="D81" s="2" t="str">
        <f aca="false">IF(ISNUMBER(SEARCH("north",Raw_Data!D81)),"WH-North",IF(ISNUMBER(SEARCH("south",Raw_Data!D81)),"WH-South",IF(ISNUMBER(SEARCH("east",Raw_Data!D81)),"WH-East",IF(ISNUMBER(SEARCH("west",Raw_Data!D81)),"WH-West","Unknown"))))</f>
        <v>WH-North</v>
      </c>
      <c r="E81" s="2" t="n">
        <f aca="false">IF(Raw_Data!E81&lt;0,0,Raw_Data!E81)</f>
        <v>260</v>
      </c>
      <c r="F81" s="2" t="str">
        <f aca="false">IF(Raw_Data!E81&lt;0,"Yes","No")</f>
        <v>No</v>
      </c>
      <c r="G81" s="2" t="n">
        <f aca="false">IF(Raw_Data!F81="",ROUND(AVERAGEIFS(Raw_Data!$F$2:$F$176,$C$2:$C$176,C81),2),Raw_Data!F81)</f>
        <v>1202.85</v>
      </c>
      <c r="H81" s="2" t="n">
        <f aca="false">Raw_Data!G81</f>
        <v>32</v>
      </c>
      <c r="I81" s="2" t="str">
        <f aca="false">IF(TRIM(Raw_Data!H81)="","Not Assigned",TRIM(Raw_Data!H81))</f>
        <v>Metro Distributors</v>
      </c>
      <c r="J81" s="3" t="n">
        <f aca="false">DATE(VALUE(MID(SUBSTITUTE(Raw_Data!I81,"/","-"),7,4)),VALUE(MID(SUBSTITUTE(Raw_Data!I81,"/","-"),4,2)),VALUE(LEFT(SUBSTITUTE(Raw_Data!I81,"/","-"),2)))</f>
        <v>45764</v>
      </c>
      <c r="K81" s="2" t="str">
        <f aca="false">IF(COUNTIF(Raw_Data!$A$2:A81,Raw_Data!A81)&gt;1,"Duplicate - Remove","Keep")</f>
        <v>Keep</v>
      </c>
      <c r="L81" s="2" t="str">
        <f aca="false">IF(E81&lt;H81,"Reorder Needed","OK")</f>
        <v>OK</v>
      </c>
    </row>
    <row r="82" customFormat="false" ht="15" hidden="false" customHeight="false" outlineLevel="0" collapsed="false">
      <c r="A82" s="2" t="str">
        <f aca="false">Raw_Data!A82</f>
        <v>SKU1004</v>
      </c>
      <c r="B82" s="2" t="str">
        <f aca="false">TRIM(PROPER(Raw_Data!B82))</f>
        <v>Led Bulb 9W</v>
      </c>
      <c r="C82" s="2" t="str">
        <f aca="false">PROPER(TRIM(Raw_Data!C82))</f>
        <v>Electronics</v>
      </c>
      <c r="D82" s="2" t="str">
        <f aca="false">IF(ISNUMBER(SEARCH("north",Raw_Data!D82)),"WH-North",IF(ISNUMBER(SEARCH("south",Raw_Data!D82)),"WH-South",IF(ISNUMBER(SEARCH("east",Raw_Data!D82)),"WH-East",IF(ISNUMBER(SEARCH("west",Raw_Data!D82)),"WH-West","Unknown"))))</f>
        <v>WH-West</v>
      </c>
      <c r="E82" s="2" t="n">
        <f aca="false">IF(Raw_Data!E82&lt;0,0,Raw_Data!E82)</f>
        <v>27</v>
      </c>
      <c r="F82" s="2" t="str">
        <f aca="false">IF(Raw_Data!E82&lt;0,"Yes","No")</f>
        <v>No</v>
      </c>
      <c r="G82" s="2" t="n">
        <f aca="false">IF(Raw_Data!F82="",ROUND(AVERAGEIFS(Raw_Data!$F$2:$F$176,$C$2:$C$176,C82),2),Raw_Data!F82)</f>
        <v>1871.45</v>
      </c>
      <c r="H82" s="2" t="n">
        <f aca="false">Raw_Data!G82</f>
        <v>39</v>
      </c>
      <c r="I82" s="2" t="str">
        <f aca="false">IF(TRIM(Raw_Data!H82)="","Not Assigned",TRIM(Raw_Data!H82))</f>
        <v>Fine Goods Pvt Ltd</v>
      </c>
      <c r="J82" s="3" t="n">
        <f aca="false">DATE(VALUE(MID(SUBSTITUTE(Raw_Data!I82,"/","-"),7,4)),VALUE(MID(SUBSTITUTE(Raw_Data!I82,"/","-"),4,2)),VALUE(LEFT(SUBSTITUTE(Raw_Data!I82,"/","-"),2)))</f>
        <v>45678</v>
      </c>
      <c r="K82" s="2" t="str">
        <f aca="false">IF(COUNTIF(Raw_Data!$A$2:A82,Raw_Data!A82)&gt;1,"Duplicate - Remove","Keep")</f>
        <v>Keep</v>
      </c>
      <c r="L82" s="2" t="str">
        <f aca="false">IF(E82&lt;H82,"Reorder Needed","OK")</f>
        <v>Reorder Needed</v>
      </c>
    </row>
    <row r="83" customFormat="false" ht="15" hidden="false" customHeight="false" outlineLevel="0" collapsed="false">
      <c r="A83" s="2" t="str">
        <f aca="false">Raw_Data!A83</f>
        <v>SKU1081</v>
      </c>
      <c r="B83" s="2" t="str">
        <f aca="false">TRIM(PROPER(Raw_Data!B83))</f>
        <v>Running Shoes Men</v>
      </c>
      <c r="C83" s="2" t="str">
        <f aca="false">PROPER(TRIM(Raw_Data!C83))</f>
        <v>Footwear</v>
      </c>
      <c r="D83" s="2" t="str">
        <f aca="false">IF(ISNUMBER(SEARCH("north",Raw_Data!D83)),"WH-North",IF(ISNUMBER(SEARCH("south",Raw_Data!D83)),"WH-South",IF(ISNUMBER(SEARCH("east",Raw_Data!D83)),"WH-East",IF(ISNUMBER(SEARCH("west",Raw_Data!D83)),"WH-West","Unknown"))))</f>
        <v>WH-North</v>
      </c>
      <c r="E83" s="2" t="n">
        <f aca="false">IF(Raw_Data!E83&lt;0,0,Raw_Data!E83)</f>
        <v>82</v>
      </c>
      <c r="F83" s="2" t="str">
        <f aca="false">IF(Raw_Data!E83&lt;0,"Yes","No")</f>
        <v>No</v>
      </c>
      <c r="G83" s="2" t="n">
        <f aca="false">IF(Raw_Data!F83="",ROUND(AVERAGEIFS(Raw_Data!$F$2:$F$176,$C$2:$C$176,C83),2),Raw_Data!F83)</f>
        <v>196.23</v>
      </c>
      <c r="H83" s="2" t="n">
        <f aca="false">Raw_Data!G83</f>
        <v>26</v>
      </c>
      <c r="I83" s="2" t="str">
        <f aca="false">IF(TRIM(Raw_Data!H83)="","Not Assigned",TRIM(Raw_Data!H83))</f>
        <v>Nova Wholesale</v>
      </c>
      <c r="J83" s="3" t="n">
        <f aca="false">DATE(VALUE(MID(SUBSTITUTE(Raw_Data!I83,"/","-"),7,4)),VALUE(MID(SUBSTITUTE(Raw_Data!I83,"/","-"),4,2)),VALUE(LEFT(SUBSTITUTE(Raw_Data!I83,"/","-"),2)))</f>
        <v>45742</v>
      </c>
      <c r="K83" s="2" t="str">
        <f aca="false">IF(COUNTIF(Raw_Data!$A$2:A83,Raw_Data!A83)&gt;1,"Duplicate - Remove","Keep")</f>
        <v>Duplicate - Remove</v>
      </c>
      <c r="L83" s="2" t="str">
        <f aca="false">IF(E83&lt;H83,"Reorder Needed","OK")</f>
        <v>OK</v>
      </c>
    </row>
    <row r="84" customFormat="false" ht="15" hidden="false" customHeight="false" outlineLevel="0" collapsed="false">
      <c r="A84" s="2" t="str">
        <f aca="false">Raw_Data!A84</f>
        <v>SKU1040</v>
      </c>
      <c r="B84" s="2" t="str">
        <f aca="false">TRIM(PROPER(Raw_Data!B84))</f>
        <v>Stapler Small</v>
      </c>
      <c r="C84" s="2" t="str">
        <f aca="false">PROPER(TRIM(Raw_Data!C84))</f>
        <v>Stationery</v>
      </c>
      <c r="D84" s="2" t="str">
        <f aca="false">IF(ISNUMBER(SEARCH("north",Raw_Data!D84)),"WH-North",IF(ISNUMBER(SEARCH("south",Raw_Data!D84)),"WH-South",IF(ISNUMBER(SEARCH("east",Raw_Data!D84)),"WH-East",IF(ISNUMBER(SEARCH("west",Raw_Data!D84)),"WH-West","Unknown"))))</f>
        <v>WH-West</v>
      </c>
      <c r="E84" s="2" t="n">
        <f aca="false">IF(Raw_Data!E84&lt;0,0,Raw_Data!E84)</f>
        <v>48</v>
      </c>
      <c r="F84" s="2" t="str">
        <f aca="false">IF(Raw_Data!E84&lt;0,"Yes","No")</f>
        <v>No</v>
      </c>
      <c r="G84" s="2" t="n">
        <f aca="false">IF(Raw_Data!F84="",ROUND(AVERAGEIFS(Raw_Data!$F$2:$F$176,$C$2:$C$176,C84),2),Raw_Data!F84)</f>
        <v>1685.84</v>
      </c>
      <c r="H84" s="2" t="n">
        <f aca="false">Raw_Data!G84</f>
        <v>29</v>
      </c>
      <c r="I84" s="2" t="str">
        <f aca="false">IF(TRIM(Raw_Data!H84)="","Not Assigned",TRIM(Raw_Data!H84))</f>
        <v>Metro Distributors</v>
      </c>
      <c r="J84" s="3" t="n">
        <f aca="false">DATE(VALUE(MID(SUBSTITUTE(Raw_Data!I84,"/","-"),7,4)),VALUE(MID(SUBSTITUTE(Raw_Data!I84,"/","-"),4,2)),VALUE(LEFT(SUBSTITUTE(Raw_Data!I84,"/","-"),2)))</f>
        <v>45681</v>
      </c>
      <c r="K84" s="2" t="str">
        <f aca="false">IF(COUNTIF(Raw_Data!$A$2:A84,Raw_Data!A84)&gt;1,"Duplicate - Remove","Keep")</f>
        <v>Keep</v>
      </c>
      <c r="L84" s="2" t="str">
        <f aca="false">IF(E84&lt;H84,"Reorder Needed","OK")</f>
        <v>OK</v>
      </c>
    </row>
    <row r="85" customFormat="false" ht="15" hidden="false" customHeight="false" outlineLevel="0" collapsed="false">
      <c r="A85" s="2" t="str">
        <f aca="false">Raw_Data!A85</f>
        <v>SKU1075</v>
      </c>
      <c r="B85" s="2" t="str">
        <f aca="false">TRIM(PROPER(Raw_Data!B85))</f>
        <v>Study Table</v>
      </c>
      <c r="C85" s="2" t="str">
        <f aca="false">PROPER(TRIM(Raw_Data!C85))</f>
        <v>Furniture</v>
      </c>
      <c r="D85" s="2" t="str">
        <f aca="false">IF(ISNUMBER(SEARCH("north",Raw_Data!D85)),"WH-North",IF(ISNUMBER(SEARCH("south",Raw_Data!D85)),"WH-South",IF(ISNUMBER(SEARCH("east",Raw_Data!D85)),"WH-East",IF(ISNUMBER(SEARCH("west",Raw_Data!D85)),"WH-West","Unknown"))))</f>
        <v>WH-East</v>
      </c>
      <c r="E85" s="2" t="n">
        <f aca="false">IF(Raw_Data!E85&lt;0,0,Raw_Data!E85)</f>
        <v>260</v>
      </c>
      <c r="F85" s="2" t="str">
        <f aca="false">IF(Raw_Data!E85&lt;0,"Yes","No")</f>
        <v>No</v>
      </c>
      <c r="G85" s="2" t="n">
        <f aca="false">IF(Raw_Data!F85="",ROUND(AVERAGEIFS(Raw_Data!$F$2:$F$176,$C$2:$C$176,C85),2),Raw_Data!F85)</f>
        <v>1780.89</v>
      </c>
      <c r="H85" s="2" t="n">
        <f aca="false">Raw_Data!G85</f>
        <v>16</v>
      </c>
      <c r="I85" s="2" t="str">
        <f aca="false">IF(TRIM(Raw_Data!H85)="","Not Assigned",TRIM(Raw_Data!H85))</f>
        <v>Metro Distributors</v>
      </c>
      <c r="J85" s="3" t="n">
        <f aca="false">DATE(VALUE(MID(SUBSTITUTE(Raw_Data!I85,"/","-"),7,4)),VALUE(MID(SUBSTITUTE(Raw_Data!I85,"/","-"),4,2)),VALUE(LEFT(SUBSTITUTE(Raw_Data!I85,"/","-"),2)))</f>
        <v>45798</v>
      </c>
      <c r="K85" s="2" t="str">
        <f aca="false">IF(COUNTIF(Raw_Data!$A$2:A85,Raw_Data!A85)&gt;1,"Duplicate - Remove","Keep")</f>
        <v>Duplicate - Remove</v>
      </c>
      <c r="L85" s="2" t="str">
        <f aca="false">IF(E85&lt;H85,"Reorder Needed","OK")</f>
        <v>OK</v>
      </c>
    </row>
    <row r="86" customFormat="false" ht="15" hidden="false" customHeight="false" outlineLevel="0" collapsed="false">
      <c r="A86" s="2" t="str">
        <f aca="false">Raw_Data!A86</f>
        <v>SKU1054</v>
      </c>
      <c r="B86" s="2" t="str">
        <f aca="false">TRIM(PROPER(Raw_Data!B86))</f>
        <v>Room Heater 1000W</v>
      </c>
      <c r="C86" s="2" t="str">
        <f aca="false">PROPER(TRIM(Raw_Data!C86))</f>
        <v>Home Appliances</v>
      </c>
      <c r="D86" s="2" t="str">
        <f aca="false">IF(ISNUMBER(SEARCH("north",Raw_Data!D86)),"WH-North",IF(ISNUMBER(SEARCH("south",Raw_Data!D86)),"WH-South",IF(ISNUMBER(SEARCH("east",Raw_Data!D86)),"WH-East",IF(ISNUMBER(SEARCH("west",Raw_Data!D86)),"WH-West","Unknown"))))</f>
        <v>WH-South</v>
      </c>
      <c r="E86" s="2" t="n">
        <f aca="false">IF(Raw_Data!E86&lt;0,0,Raw_Data!E86)</f>
        <v>129</v>
      </c>
      <c r="F86" s="2" t="str">
        <f aca="false">IF(Raw_Data!E86&lt;0,"Yes","No")</f>
        <v>No</v>
      </c>
      <c r="G86" s="2" t="n">
        <f aca="false">IF(Raw_Data!F86="",ROUND(AVERAGEIFS(Raw_Data!$F$2:$F$176,$C$2:$C$176,C86),2),Raw_Data!F86)</f>
        <v>3101.3</v>
      </c>
      <c r="H86" s="2" t="n">
        <f aca="false">Raw_Data!G86</f>
        <v>37</v>
      </c>
      <c r="I86" s="2" t="str">
        <f aca="false">IF(TRIM(Raw_Data!H86)="","Not Assigned",TRIM(Raw_Data!H86))</f>
        <v>Prime Vendors</v>
      </c>
      <c r="J86" s="3" t="n">
        <f aca="false">DATE(VALUE(MID(SUBSTITUTE(Raw_Data!I86,"/","-"),7,4)),VALUE(MID(SUBSTITUTE(Raw_Data!I86,"/","-"),4,2)),VALUE(LEFT(SUBSTITUTE(Raw_Data!I86,"/","-"),2)))</f>
        <v>45811</v>
      </c>
      <c r="K86" s="2" t="str">
        <f aca="false">IF(COUNTIF(Raw_Data!$A$2:A86,Raw_Data!A86)&gt;1,"Duplicate - Remove","Keep")</f>
        <v>Keep</v>
      </c>
      <c r="L86" s="2" t="str">
        <f aca="false">IF(E86&lt;H86,"Reorder Needed","OK")</f>
        <v>OK</v>
      </c>
    </row>
    <row r="87" customFormat="false" ht="15" hidden="false" customHeight="false" outlineLevel="0" collapsed="false">
      <c r="A87" s="2" t="str">
        <f aca="false">Raw_Data!A87</f>
        <v>SKU1015</v>
      </c>
      <c r="B87" s="2" t="str">
        <f aca="false">TRIM(PROPER(Raw_Data!B87))</f>
        <v>Power Bank 10000Mah</v>
      </c>
      <c r="C87" s="2" t="str">
        <f aca="false">PROPER(TRIM(Raw_Data!C87))</f>
        <v>Electronics</v>
      </c>
      <c r="D87" s="2" t="str">
        <f aca="false">IF(ISNUMBER(SEARCH("north",Raw_Data!D87)),"WH-North",IF(ISNUMBER(SEARCH("south",Raw_Data!D87)),"WH-South",IF(ISNUMBER(SEARCH("east",Raw_Data!D87)),"WH-East",IF(ISNUMBER(SEARCH("west",Raw_Data!D87)),"WH-West","Unknown"))))</f>
        <v>WH-East</v>
      </c>
      <c r="E87" s="2" t="n">
        <f aca="false">IF(Raw_Data!E87&lt;0,0,Raw_Data!E87)</f>
        <v>269</v>
      </c>
      <c r="F87" s="2" t="str">
        <f aca="false">IF(Raw_Data!E87&lt;0,"Yes","No")</f>
        <v>No</v>
      </c>
      <c r="G87" s="2" t="n">
        <f aca="false">IF(Raw_Data!F87="",ROUND(AVERAGEIFS(Raw_Data!$F$2:$F$176,$C$2:$C$176,C87),2),Raw_Data!F87)</f>
        <v>1871.45</v>
      </c>
      <c r="H87" s="2" t="n">
        <f aca="false">Raw_Data!G87</f>
        <v>12</v>
      </c>
      <c r="I87" s="2" t="str">
        <f aca="false">IF(TRIM(Raw_Data!H87)="","Not Assigned",TRIM(Raw_Data!H87))</f>
        <v>Metro Distributors</v>
      </c>
      <c r="J87" s="3" t="n">
        <f aca="false">DATE(VALUE(MID(SUBSTITUTE(Raw_Data!I87,"/","-"),7,4)),VALUE(MID(SUBSTITUTE(Raw_Data!I87,"/","-"),4,2)),VALUE(LEFT(SUBSTITUTE(Raw_Data!I87,"/","-"),2)))</f>
        <v>45663</v>
      </c>
      <c r="K87" s="2" t="str">
        <f aca="false">IF(COUNTIF(Raw_Data!$A$2:A87,Raw_Data!A87)&gt;1,"Duplicate - Remove","Keep")</f>
        <v>Keep</v>
      </c>
      <c r="L87" s="2" t="str">
        <f aca="false">IF(E87&lt;H87,"Reorder Needed","OK")</f>
        <v>OK</v>
      </c>
    </row>
    <row r="88" customFormat="false" ht="15" hidden="false" customHeight="false" outlineLevel="0" collapsed="false">
      <c r="A88" s="2" t="str">
        <f aca="false">Raw_Data!A88</f>
        <v>SKU1155</v>
      </c>
      <c r="B88" s="2" t="str">
        <f aca="false">TRIM(PROPER(Raw_Data!B88))</f>
        <v>Soft Toy Bear</v>
      </c>
      <c r="C88" s="2" t="str">
        <f aca="false">PROPER(TRIM(Raw_Data!C88))</f>
        <v>Toys</v>
      </c>
      <c r="D88" s="2" t="str">
        <f aca="false">IF(ISNUMBER(SEARCH("north",Raw_Data!D88)),"WH-North",IF(ISNUMBER(SEARCH("south",Raw_Data!D88)),"WH-South",IF(ISNUMBER(SEARCH("east",Raw_Data!D88)),"WH-East",IF(ISNUMBER(SEARCH("west",Raw_Data!D88)),"WH-West","Unknown"))))</f>
        <v>WH-East</v>
      </c>
      <c r="E88" s="2" t="n">
        <f aca="false">IF(Raw_Data!E88&lt;0,0,Raw_Data!E88)</f>
        <v>68</v>
      </c>
      <c r="F88" s="2" t="str">
        <f aca="false">IF(Raw_Data!E88&lt;0,"Yes","No")</f>
        <v>No</v>
      </c>
      <c r="G88" s="2" t="n">
        <f aca="false">IF(Raw_Data!F88="",ROUND(AVERAGEIFS(Raw_Data!$F$2:$F$176,$C$2:$C$176,C88),2),Raw_Data!F88)</f>
        <v>1251.29</v>
      </c>
      <c r="H88" s="2" t="n">
        <f aca="false">Raw_Data!G88</f>
        <v>15</v>
      </c>
      <c r="I88" s="2" t="str">
        <f aca="false">IF(TRIM(Raw_Data!H88)="","Not Assigned",TRIM(Raw_Data!H88))</f>
        <v>Metro Distributors</v>
      </c>
      <c r="J88" s="3" t="n">
        <f aca="false">DATE(VALUE(MID(SUBSTITUTE(Raw_Data!I88,"/","-"),7,4)),VALUE(MID(SUBSTITUTE(Raw_Data!I88,"/","-"),4,2)),VALUE(LEFT(SUBSTITUTE(Raw_Data!I88,"/","-"),2)))</f>
        <v>45897</v>
      </c>
      <c r="K88" s="2" t="str">
        <f aca="false">IF(COUNTIF(Raw_Data!$A$2:A88,Raw_Data!A88)&gt;1,"Duplicate - Remove","Keep")</f>
        <v>Keep</v>
      </c>
      <c r="L88" s="2" t="str">
        <f aca="false">IF(E88&lt;H88,"Reorder Needed","OK")</f>
        <v>OK</v>
      </c>
    </row>
    <row r="89" customFormat="false" ht="15" hidden="false" customHeight="false" outlineLevel="0" collapsed="false">
      <c r="A89" s="2" t="str">
        <f aca="false">Raw_Data!A89</f>
        <v>SKU1117</v>
      </c>
      <c r="B89" s="2" t="str">
        <f aca="false">TRIM(PROPER(Raw_Data!B89))</f>
        <v>Winter Jacket</v>
      </c>
      <c r="C89" s="2" t="str">
        <f aca="false">PROPER(TRIM(Raw_Data!C89))</f>
        <v>Apparel</v>
      </c>
      <c r="D89" s="2" t="str">
        <f aca="false">IF(ISNUMBER(SEARCH("north",Raw_Data!D89)),"WH-North",IF(ISNUMBER(SEARCH("south",Raw_Data!D89)),"WH-South",IF(ISNUMBER(SEARCH("east",Raw_Data!D89)),"WH-East",IF(ISNUMBER(SEARCH("west",Raw_Data!D89)),"WH-West","Unknown"))))</f>
        <v>WH-North</v>
      </c>
      <c r="E89" s="2" t="n">
        <f aca="false">IF(Raw_Data!E89&lt;0,0,Raw_Data!E89)</f>
        <v>44</v>
      </c>
      <c r="F89" s="2" t="str">
        <f aca="false">IF(Raw_Data!E89&lt;0,"Yes","No")</f>
        <v>No</v>
      </c>
      <c r="G89" s="2" t="n">
        <f aca="false">IF(Raw_Data!F89="",ROUND(AVERAGEIFS(Raw_Data!$F$2:$F$176,$C$2:$C$176,C89),2),Raw_Data!F89)</f>
        <v>2324.25</v>
      </c>
      <c r="H89" s="2" t="n">
        <f aca="false">Raw_Data!G89</f>
        <v>28</v>
      </c>
      <c r="I89" s="2" t="str">
        <f aca="false">IF(TRIM(Raw_Data!H89)="","Not Assigned",TRIM(Raw_Data!H89))</f>
        <v>Not Assigned</v>
      </c>
      <c r="J89" s="3" t="n">
        <f aca="false">DATE(VALUE(MID(SUBSTITUTE(Raw_Data!I89,"/","-"),7,4)),VALUE(MID(SUBSTITUTE(Raw_Data!I89,"/","-"),4,2)),VALUE(LEFT(SUBSTITUTE(Raw_Data!I89,"/","-"),2)))</f>
        <v>45839</v>
      </c>
      <c r="K89" s="2" t="str">
        <f aca="false">IF(COUNTIF(Raw_Data!$A$2:A89,Raw_Data!A89)&gt;1,"Duplicate - Remove","Keep")</f>
        <v>Keep</v>
      </c>
      <c r="L89" s="2" t="str">
        <f aca="false">IF(E89&lt;H89,"Reorder Needed","OK")</f>
        <v>OK</v>
      </c>
    </row>
    <row r="90" customFormat="false" ht="15" hidden="false" customHeight="false" outlineLevel="0" collapsed="false">
      <c r="A90" s="2" t="str">
        <f aca="false">Raw_Data!A90</f>
        <v>SKU1048</v>
      </c>
      <c r="B90" s="2" t="str">
        <f aca="false">TRIM(PROPER(Raw_Data!B90))</f>
        <v>Table Fan 16In</v>
      </c>
      <c r="C90" s="2" t="str">
        <f aca="false">PROPER(TRIM(Raw_Data!C90))</f>
        <v>Home Appliances</v>
      </c>
      <c r="D90" s="2" t="str">
        <f aca="false">IF(ISNUMBER(SEARCH("north",Raw_Data!D90)),"WH-North",IF(ISNUMBER(SEARCH("south",Raw_Data!D90)),"WH-South",IF(ISNUMBER(SEARCH("east",Raw_Data!D90)),"WH-East",IF(ISNUMBER(SEARCH("west",Raw_Data!D90)),"WH-West","Unknown"))))</f>
        <v>WH-West</v>
      </c>
      <c r="E90" s="2" t="n">
        <f aca="false">IF(Raw_Data!E90&lt;0,0,Raw_Data!E90)</f>
        <v>284</v>
      </c>
      <c r="F90" s="2" t="str">
        <f aca="false">IF(Raw_Data!E90&lt;0,"Yes","No")</f>
        <v>No</v>
      </c>
      <c r="G90" s="2" t="n">
        <f aca="false">IF(Raw_Data!F90="",ROUND(AVERAGEIFS(Raw_Data!$F$2:$F$176,$C$2:$C$176,C90),2),Raw_Data!F90)</f>
        <v>3596.35</v>
      </c>
      <c r="H90" s="2" t="n">
        <f aca="false">Raw_Data!G90</f>
        <v>25</v>
      </c>
      <c r="I90" s="2" t="str">
        <f aca="false">IF(TRIM(Raw_Data!H90)="","Not Assigned",TRIM(Raw_Data!H90))</f>
        <v>Global Supply Co</v>
      </c>
      <c r="J90" s="3" t="n">
        <f aca="false">DATE(VALUE(MID(SUBSTITUTE(Raw_Data!I90,"/","-"),7,4)),VALUE(MID(SUBSTITUTE(Raw_Data!I90,"/","-"),4,2)),VALUE(LEFT(SUBSTITUTE(Raw_Data!I90,"/","-"),2)))</f>
        <v>45727</v>
      </c>
      <c r="K90" s="2" t="str">
        <f aca="false">IF(COUNTIF(Raw_Data!$A$2:A90,Raw_Data!A90)&gt;1,"Duplicate - Remove","Keep")</f>
        <v>Keep</v>
      </c>
      <c r="L90" s="2" t="str">
        <f aca="false">IF(E90&lt;H90,"Reorder Needed","OK")</f>
        <v>OK</v>
      </c>
    </row>
    <row r="91" customFormat="false" ht="15" hidden="false" customHeight="false" outlineLevel="0" collapsed="false">
      <c r="A91" s="2" t="str">
        <f aca="false">Raw_Data!A91</f>
        <v>SKU1154</v>
      </c>
      <c r="B91" s="2" t="str">
        <f aca="false">TRIM(PROPER(Raw_Data!B91))</f>
        <v>Soft Toy Bear</v>
      </c>
      <c r="C91" s="2" t="str">
        <f aca="false">PROPER(TRIM(Raw_Data!C91))</f>
        <v>Toys</v>
      </c>
      <c r="D91" s="2" t="str">
        <f aca="false">IF(ISNUMBER(SEARCH("north",Raw_Data!D91)),"WH-North",IF(ISNUMBER(SEARCH("south",Raw_Data!D91)),"WH-South",IF(ISNUMBER(SEARCH("east",Raw_Data!D91)),"WH-East",IF(ISNUMBER(SEARCH("west",Raw_Data!D91)),"WH-West","Unknown"))))</f>
        <v>WH-South</v>
      </c>
      <c r="E91" s="2" t="n">
        <f aca="false">IF(Raw_Data!E91&lt;0,0,Raw_Data!E91)</f>
        <v>167</v>
      </c>
      <c r="F91" s="2" t="str">
        <f aca="false">IF(Raw_Data!E91&lt;0,"Yes","No")</f>
        <v>No</v>
      </c>
      <c r="G91" s="2" t="n">
        <f aca="false">IF(Raw_Data!F91="",ROUND(AVERAGEIFS(Raw_Data!$F$2:$F$176,$C$2:$C$176,C91),2),Raw_Data!F91)</f>
        <v>1712.51</v>
      </c>
      <c r="H91" s="2" t="n">
        <f aca="false">Raw_Data!G91</f>
        <v>31</v>
      </c>
      <c r="I91" s="2" t="str">
        <f aca="false">IF(TRIM(Raw_Data!H91)="","Not Assigned",TRIM(Raw_Data!H91))</f>
        <v>Nova Wholesale</v>
      </c>
      <c r="J91" s="3" t="n">
        <f aca="false">DATE(VALUE(MID(SUBSTITUTE(Raw_Data!I91,"/","-"),7,4)),VALUE(MID(SUBSTITUTE(Raw_Data!I91,"/","-"),4,2)),VALUE(LEFT(SUBSTITUTE(Raw_Data!I91,"/","-"),2)))</f>
        <v>45746</v>
      </c>
      <c r="K91" s="2" t="str">
        <f aca="false">IF(COUNTIF(Raw_Data!$A$2:A91,Raw_Data!A91)&gt;1,"Duplicate - Remove","Keep")</f>
        <v>Keep</v>
      </c>
      <c r="L91" s="2" t="str">
        <f aca="false">IF(E91&lt;H91,"Reorder Needed","OK")</f>
        <v>OK</v>
      </c>
    </row>
    <row r="92" customFormat="false" ht="15" hidden="false" customHeight="false" outlineLevel="0" collapsed="false">
      <c r="A92" s="2" t="str">
        <f aca="false">Raw_Data!A92</f>
        <v>SKU1115</v>
      </c>
      <c r="B92" s="2" t="str">
        <f aca="false">TRIM(PROPER(Raw_Data!B92))</f>
        <v>Track Pants</v>
      </c>
      <c r="C92" s="2" t="str">
        <f aca="false">PROPER(TRIM(Raw_Data!C92))</f>
        <v>Apparel</v>
      </c>
      <c r="D92" s="2" t="str">
        <f aca="false">IF(ISNUMBER(SEARCH("north",Raw_Data!D92)),"WH-North",IF(ISNUMBER(SEARCH("south",Raw_Data!D92)),"WH-South",IF(ISNUMBER(SEARCH("east",Raw_Data!D92)),"WH-East",IF(ISNUMBER(SEARCH("west",Raw_Data!D92)),"WH-West","Unknown"))))</f>
        <v>WH-East</v>
      </c>
      <c r="E92" s="2" t="n">
        <f aca="false">IF(Raw_Data!E92&lt;0,0,Raw_Data!E92)</f>
        <v>109</v>
      </c>
      <c r="F92" s="2" t="str">
        <f aca="false">IF(Raw_Data!E92&lt;0,"Yes","No")</f>
        <v>No</v>
      </c>
      <c r="G92" s="2" t="n">
        <f aca="false">IF(Raw_Data!F92="",ROUND(AVERAGEIFS(Raw_Data!$F$2:$F$176,$C$2:$C$176,C92),2),Raw_Data!F92)</f>
        <v>884.37</v>
      </c>
      <c r="H92" s="2" t="n">
        <f aca="false">Raw_Data!G92</f>
        <v>14</v>
      </c>
      <c r="I92" s="2" t="str">
        <f aca="false">IF(TRIM(Raw_Data!H92)="","Not Assigned",TRIM(Raw_Data!H92))</f>
        <v>Metro Distributors</v>
      </c>
      <c r="J92" s="3" t="n">
        <f aca="false">DATE(VALUE(MID(SUBSTITUTE(Raw_Data!I92,"/","-"),7,4)),VALUE(MID(SUBSTITUTE(Raw_Data!I92,"/","-"),4,2)),VALUE(LEFT(SUBSTITUTE(Raw_Data!I92,"/","-"),2)))</f>
        <v>45732</v>
      </c>
      <c r="K92" s="2" t="str">
        <f aca="false">IF(COUNTIF(Raw_Data!$A$2:A92,Raw_Data!A92)&gt;1,"Duplicate - Remove","Keep")</f>
        <v>Keep</v>
      </c>
      <c r="L92" s="2" t="str">
        <f aca="false">IF(E92&lt;H92,"Reorder Needed","OK")</f>
        <v>OK</v>
      </c>
    </row>
    <row r="93" customFormat="false" ht="15" hidden="false" customHeight="false" outlineLevel="0" collapsed="false">
      <c r="A93" s="2" t="str">
        <f aca="false">Raw_Data!A93</f>
        <v>SKU1132</v>
      </c>
      <c r="B93" s="2" t="str">
        <f aca="false">TRIM(PROPER(Raw_Data!B93))</f>
        <v>Pressure Cooker 3L</v>
      </c>
      <c r="C93" s="2" t="str">
        <f aca="false">PROPER(TRIM(Raw_Data!C93))</f>
        <v>Kitchenware</v>
      </c>
      <c r="D93" s="2" t="str">
        <f aca="false">IF(ISNUMBER(SEARCH("north",Raw_Data!D93)),"WH-North",IF(ISNUMBER(SEARCH("south",Raw_Data!D93)),"WH-South",IF(ISNUMBER(SEARCH("east",Raw_Data!D93)),"WH-East",IF(ISNUMBER(SEARCH("west",Raw_Data!D93)),"WH-West","Unknown"))))</f>
        <v>WH-West</v>
      </c>
      <c r="E93" s="2" t="n">
        <f aca="false">IF(Raw_Data!E93&lt;0,0,Raw_Data!E93)</f>
        <v>127</v>
      </c>
      <c r="F93" s="2" t="str">
        <f aca="false">IF(Raw_Data!E93&lt;0,"Yes","No")</f>
        <v>No</v>
      </c>
      <c r="G93" s="2" t="n">
        <f aca="false">IF(Raw_Data!F93="",ROUND(AVERAGEIFS(Raw_Data!$F$2:$F$176,$C$2:$C$176,C93),2),Raw_Data!F93)</f>
        <v>3244.06</v>
      </c>
      <c r="H93" s="2" t="n">
        <f aca="false">Raw_Data!G93</f>
        <v>25</v>
      </c>
      <c r="I93" s="2" t="str">
        <f aca="false">IF(TRIM(Raw_Data!H93)="","Not Assigned",TRIM(Raw_Data!H93))</f>
        <v>Global Supply Co</v>
      </c>
      <c r="J93" s="3" t="n">
        <f aca="false">DATE(VALUE(MID(SUBSTITUTE(Raw_Data!I93,"/","-"),7,4)),VALUE(MID(SUBSTITUTE(Raw_Data!I93,"/","-"),4,2)),VALUE(LEFT(SUBSTITUTE(Raw_Data!I93,"/","-"),2)))</f>
        <v>45752</v>
      </c>
      <c r="K93" s="2" t="str">
        <f aca="false">IF(COUNTIF(Raw_Data!$A$2:A93,Raw_Data!A93)&gt;1,"Duplicate - Remove","Keep")</f>
        <v>Duplicate - Remove</v>
      </c>
      <c r="L93" s="2" t="str">
        <f aca="false">IF(E93&lt;H93,"Reorder Needed","OK")</f>
        <v>OK</v>
      </c>
    </row>
    <row r="94" customFormat="false" ht="15" hidden="false" customHeight="false" outlineLevel="0" collapsed="false">
      <c r="A94" s="2" t="str">
        <f aca="false">Raw_Data!A94</f>
        <v>SKU1160</v>
      </c>
      <c r="B94" s="2" t="str">
        <f aca="false">TRIM(PROPER(Raw_Data!B94))</f>
        <v>Board Game</v>
      </c>
      <c r="C94" s="2" t="str">
        <f aca="false">PROPER(TRIM(Raw_Data!C94))</f>
        <v>Toys</v>
      </c>
      <c r="D94" s="2" t="str">
        <f aca="false">IF(ISNUMBER(SEARCH("north",Raw_Data!D94)),"WH-North",IF(ISNUMBER(SEARCH("south",Raw_Data!D94)),"WH-South",IF(ISNUMBER(SEARCH("east",Raw_Data!D94)),"WH-East",IF(ISNUMBER(SEARCH("west",Raw_Data!D94)),"WH-West","Unknown"))))</f>
        <v>WH-West</v>
      </c>
      <c r="E94" s="2" t="n">
        <f aca="false">IF(Raw_Data!E94&lt;0,0,Raw_Data!E94)</f>
        <v>168</v>
      </c>
      <c r="F94" s="2" t="str">
        <f aca="false">IF(Raw_Data!E94&lt;0,"Yes","No")</f>
        <v>No</v>
      </c>
      <c r="G94" s="2" t="n">
        <f aca="false">IF(Raw_Data!F94="",ROUND(AVERAGEIFS(Raw_Data!$F$2:$F$176,$C$2:$C$176,C94),2),Raw_Data!F94)</f>
        <v>3450.07</v>
      </c>
      <c r="H94" s="2" t="n">
        <f aca="false">Raw_Data!G94</f>
        <v>22</v>
      </c>
      <c r="I94" s="2" t="str">
        <f aca="false">IF(TRIM(Raw_Data!H94)="","Not Assigned",TRIM(Raw_Data!H94))</f>
        <v>Global Supply Co</v>
      </c>
      <c r="J94" s="3" t="n">
        <f aca="false">DATE(VALUE(MID(SUBSTITUTE(Raw_Data!I94,"/","-"),7,4)),VALUE(MID(SUBSTITUTE(Raw_Data!I94,"/","-"),4,2)),VALUE(LEFT(SUBSTITUTE(Raw_Data!I94,"/","-"),2)))</f>
        <v>45852</v>
      </c>
      <c r="K94" s="2" t="str">
        <f aca="false">IF(COUNTIF(Raw_Data!$A$2:A94,Raw_Data!A94)&gt;1,"Duplicate - Remove","Keep")</f>
        <v>Keep</v>
      </c>
      <c r="L94" s="2" t="str">
        <f aca="false">IF(E94&lt;H94,"Reorder Needed","OK")</f>
        <v>OK</v>
      </c>
    </row>
    <row r="95" customFormat="false" ht="15" hidden="false" customHeight="false" outlineLevel="0" collapsed="false">
      <c r="A95" s="2" t="str">
        <f aca="false">Raw_Data!A95</f>
        <v>SKU1013</v>
      </c>
      <c r="B95" s="2" t="str">
        <f aca="false">TRIM(PROPER(Raw_Data!B95))</f>
        <v>Power Bank 10000Mah</v>
      </c>
      <c r="C95" s="2" t="str">
        <f aca="false">PROPER(TRIM(Raw_Data!C95))</f>
        <v>Electronics</v>
      </c>
      <c r="D95" s="2" t="str">
        <f aca="false">IF(ISNUMBER(SEARCH("north",Raw_Data!D95)),"WH-North",IF(ISNUMBER(SEARCH("south",Raw_Data!D95)),"WH-South",IF(ISNUMBER(SEARCH("east",Raw_Data!D95)),"WH-East",IF(ISNUMBER(SEARCH("west",Raw_Data!D95)),"WH-West","Unknown"))))</f>
        <v>WH-North</v>
      </c>
      <c r="E95" s="2" t="n">
        <f aca="false">IF(Raw_Data!E95&lt;0,0,Raw_Data!E95)</f>
        <v>162</v>
      </c>
      <c r="F95" s="2" t="str">
        <f aca="false">IF(Raw_Data!E95&lt;0,"Yes","No")</f>
        <v>No</v>
      </c>
      <c r="G95" s="2" t="n">
        <f aca="false">IF(Raw_Data!F95="",ROUND(AVERAGEIFS(Raw_Data!$F$2:$F$176,$C$2:$C$176,C95),2),Raw_Data!F95)</f>
        <v>1001.44</v>
      </c>
      <c r="H95" s="2" t="n">
        <f aca="false">Raw_Data!G95</f>
        <v>28</v>
      </c>
      <c r="I95" s="2" t="str">
        <f aca="false">IF(TRIM(Raw_Data!H95)="","Not Assigned",TRIM(Raw_Data!H95))</f>
        <v>Sharma Traders</v>
      </c>
      <c r="J95" s="3" t="n">
        <f aca="false">DATE(VALUE(MID(SUBSTITUTE(Raw_Data!I95,"/","-"),7,4)),VALUE(MID(SUBSTITUTE(Raw_Data!I95,"/","-"),4,2)),VALUE(LEFT(SUBSTITUTE(Raw_Data!I95,"/","-"),2)))</f>
        <v>45679</v>
      </c>
      <c r="K95" s="2" t="str">
        <f aca="false">IF(COUNTIF(Raw_Data!$A$2:A95,Raw_Data!A95)&gt;1,"Duplicate - Remove","Keep")</f>
        <v>Keep</v>
      </c>
      <c r="L95" s="2" t="str">
        <f aca="false">IF(E95&lt;H95,"Reorder Needed","OK")</f>
        <v>OK</v>
      </c>
    </row>
    <row r="96" customFormat="false" ht="15" hidden="false" customHeight="false" outlineLevel="0" collapsed="false">
      <c r="A96" s="2" t="str">
        <f aca="false">Raw_Data!A96</f>
        <v>SKU1063</v>
      </c>
      <c r="B96" s="2" t="str">
        <f aca="false">TRIM(PROPER(Raw_Data!B96))</f>
        <v>Plastic Chair</v>
      </c>
      <c r="C96" s="2" t="str">
        <f aca="false">PROPER(TRIM(Raw_Data!C96))</f>
        <v>Furniture</v>
      </c>
      <c r="D96" s="2" t="str">
        <f aca="false">IF(ISNUMBER(SEARCH("north",Raw_Data!D96)),"WH-North",IF(ISNUMBER(SEARCH("south",Raw_Data!D96)),"WH-South",IF(ISNUMBER(SEARCH("east",Raw_Data!D96)),"WH-East",IF(ISNUMBER(SEARCH("west",Raw_Data!D96)),"WH-West","Unknown"))))</f>
        <v>WH-East</v>
      </c>
      <c r="E96" s="2" t="n">
        <f aca="false">IF(Raw_Data!E96&lt;0,0,Raw_Data!E96)</f>
        <v>32</v>
      </c>
      <c r="F96" s="2" t="str">
        <f aca="false">IF(Raw_Data!E96&lt;0,"Yes","No")</f>
        <v>No</v>
      </c>
      <c r="G96" s="2" t="n">
        <f aca="false">IF(Raw_Data!F96="",ROUND(AVERAGEIFS(Raw_Data!$F$2:$F$176,$C$2:$C$176,C96),2),Raw_Data!F96)</f>
        <v>2804.8</v>
      </c>
      <c r="H96" s="2" t="n">
        <f aca="false">Raw_Data!G96</f>
        <v>14</v>
      </c>
      <c r="I96" s="2" t="str">
        <f aca="false">IF(TRIM(Raw_Data!H96)="","Not Assigned",TRIM(Raw_Data!H96))</f>
        <v>Prime Vendors</v>
      </c>
      <c r="J96" s="3" t="n">
        <f aca="false">DATE(VALUE(MID(SUBSTITUTE(Raw_Data!I96,"/","-"),7,4)),VALUE(MID(SUBSTITUTE(Raw_Data!I96,"/","-"),4,2)),VALUE(LEFT(SUBSTITUTE(Raw_Data!I96,"/","-"),2)))</f>
        <v>45880</v>
      </c>
      <c r="K96" s="2" t="str">
        <f aca="false">IF(COUNTIF(Raw_Data!$A$2:A96,Raw_Data!A96)&gt;1,"Duplicate - Remove","Keep")</f>
        <v>Keep</v>
      </c>
      <c r="L96" s="2" t="str">
        <f aca="false">IF(E96&lt;H96,"Reorder Needed","OK")</f>
        <v>OK</v>
      </c>
    </row>
    <row r="97" customFormat="false" ht="15" hidden="false" customHeight="false" outlineLevel="0" collapsed="false">
      <c r="A97" s="2" t="str">
        <f aca="false">Raw_Data!A97</f>
        <v>SKU1069</v>
      </c>
      <c r="B97" s="2" t="str">
        <f aca="false">TRIM(PROPER(Raw_Data!B97))</f>
        <v>Bookshelf 3-Tier</v>
      </c>
      <c r="C97" s="2" t="str">
        <f aca="false">PROPER(TRIM(Raw_Data!C97))</f>
        <v>Furniture</v>
      </c>
      <c r="D97" s="2" t="str">
        <f aca="false">IF(ISNUMBER(SEARCH("north",Raw_Data!D97)),"WH-North",IF(ISNUMBER(SEARCH("south",Raw_Data!D97)),"WH-South",IF(ISNUMBER(SEARCH("east",Raw_Data!D97)),"WH-East",IF(ISNUMBER(SEARCH("west",Raw_Data!D97)),"WH-West","Unknown"))))</f>
        <v>WH-North</v>
      </c>
      <c r="E97" s="2" t="n">
        <f aca="false">IF(Raw_Data!E97&lt;0,0,Raw_Data!E97)</f>
        <v>141</v>
      </c>
      <c r="F97" s="2" t="str">
        <f aca="false">IF(Raw_Data!E97&lt;0,"Yes","No")</f>
        <v>No</v>
      </c>
      <c r="G97" s="2" t="n">
        <f aca="false">IF(Raw_Data!F97="",ROUND(AVERAGEIFS(Raw_Data!$F$2:$F$176,$C$2:$C$176,C97),2),Raw_Data!F97)</f>
        <v>332.07</v>
      </c>
      <c r="H97" s="2" t="n">
        <f aca="false">Raw_Data!G97</f>
        <v>15</v>
      </c>
      <c r="I97" s="2" t="str">
        <f aca="false">IF(TRIM(Raw_Data!H97)="","Not Assigned",TRIM(Raw_Data!H97))</f>
        <v>Metro Distributors</v>
      </c>
      <c r="J97" s="3" t="n">
        <f aca="false">DATE(VALUE(MID(SUBSTITUTE(Raw_Data!I97,"/","-"),7,4)),VALUE(MID(SUBSTITUTE(Raw_Data!I97,"/","-"),4,2)),VALUE(LEFT(SUBSTITUTE(Raw_Data!I97,"/","-"),2)))</f>
        <v>45810</v>
      </c>
      <c r="K97" s="2" t="str">
        <f aca="false">IF(COUNTIF(Raw_Data!$A$2:A97,Raw_Data!A97)&gt;1,"Duplicate - Remove","Keep")</f>
        <v>Keep</v>
      </c>
      <c r="L97" s="2" t="str">
        <f aca="false">IF(E97&lt;H97,"Reorder Needed","OK")</f>
        <v>OK</v>
      </c>
    </row>
    <row r="98" customFormat="false" ht="15" hidden="false" customHeight="false" outlineLevel="0" collapsed="false">
      <c r="A98" s="2" t="str">
        <f aca="false">Raw_Data!A98</f>
        <v>SKU1110</v>
      </c>
      <c r="B98" s="2" t="str">
        <f aca="false">TRIM(PROPER(Raw_Data!B98))</f>
        <v>Formal Shirt</v>
      </c>
      <c r="C98" s="2" t="str">
        <f aca="false">PROPER(TRIM(Raw_Data!C98))</f>
        <v>Apparel</v>
      </c>
      <c r="D98" s="2" t="str">
        <f aca="false">IF(ISNUMBER(SEARCH("north",Raw_Data!D98)),"WH-North",IF(ISNUMBER(SEARCH("south",Raw_Data!D98)),"WH-South",IF(ISNUMBER(SEARCH("east",Raw_Data!D98)),"WH-East",IF(ISNUMBER(SEARCH("west",Raw_Data!D98)),"WH-West","Unknown"))))</f>
        <v>WH-South</v>
      </c>
      <c r="E98" s="2" t="n">
        <f aca="false">IF(Raw_Data!E98&lt;0,0,Raw_Data!E98)</f>
        <v>292</v>
      </c>
      <c r="F98" s="2" t="str">
        <f aca="false">IF(Raw_Data!E98&lt;0,"Yes","No")</f>
        <v>No</v>
      </c>
      <c r="G98" s="2" t="n">
        <f aca="false">IF(Raw_Data!F98="",ROUND(AVERAGEIFS(Raw_Data!$F$2:$F$176,$C$2:$C$176,C98),2),Raw_Data!F98)</f>
        <v>3282.79</v>
      </c>
      <c r="H98" s="2" t="n">
        <f aca="false">Raw_Data!G98</f>
        <v>29</v>
      </c>
      <c r="I98" s="2" t="str">
        <f aca="false">IF(TRIM(Raw_Data!H98)="","Not Assigned",TRIM(Raw_Data!H98))</f>
        <v>Prime Vendors</v>
      </c>
      <c r="J98" s="3" t="n">
        <f aca="false">DATE(VALUE(MID(SUBSTITUTE(Raw_Data!I98,"/","-"),7,4)),VALUE(MID(SUBSTITUTE(Raw_Data!I98,"/","-"),4,2)),VALUE(LEFT(SUBSTITUTE(Raw_Data!I98,"/","-"),2)))</f>
        <v>45822</v>
      </c>
      <c r="K98" s="2" t="str">
        <f aca="false">IF(COUNTIF(Raw_Data!$A$2:A98,Raw_Data!A98)&gt;1,"Duplicate - Remove","Keep")</f>
        <v>Keep</v>
      </c>
      <c r="L98" s="2" t="str">
        <f aca="false">IF(E98&lt;H98,"Reorder Needed","OK")</f>
        <v>OK</v>
      </c>
    </row>
    <row r="99" customFormat="false" ht="15" hidden="false" customHeight="false" outlineLevel="0" collapsed="false">
      <c r="A99" s="2" t="str">
        <f aca="false">Raw_Data!A99</f>
        <v>SKU1123</v>
      </c>
      <c r="B99" s="2" t="str">
        <f aca="false">TRIM(PROPER(Raw_Data!B99))</f>
        <v>Non-Stick Pan</v>
      </c>
      <c r="C99" s="2" t="str">
        <f aca="false">PROPER(TRIM(Raw_Data!C99))</f>
        <v>Kitchenware</v>
      </c>
      <c r="D99" s="2" t="str">
        <f aca="false">IF(ISNUMBER(SEARCH("north",Raw_Data!D99)),"WH-North",IF(ISNUMBER(SEARCH("south",Raw_Data!D99)),"WH-South",IF(ISNUMBER(SEARCH("east",Raw_Data!D99)),"WH-East",IF(ISNUMBER(SEARCH("west",Raw_Data!D99)),"WH-West","Unknown"))))</f>
        <v>WH-East</v>
      </c>
      <c r="E99" s="2" t="n">
        <f aca="false">IF(Raw_Data!E99&lt;0,0,Raw_Data!E99)</f>
        <v>51</v>
      </c>
      <c r="F99" s="2" t="str">
        <f aca="false">IF(Raw_Data!E99&lt;0,"Yes","No")</f>
        <v>No</v>
      </c>
      <c r="G99" s="2" t="n">
        <f aca="false">IF(Raw_Data!F99="",ROUND(AVERAGEIFS(Raw_Data!$F$2:$F$176,$C$2:$C$176,C99),2),Raw_Data!F99)</f>
        <v>2052.92</v>
      </c>
      <c r="H99" s="2" t="n">
        <f aca="false">Raw_Data!G99</f>
        <v>24</v>
      </c>
      <c r="I99" s="2" t="str">
        <f aca="false">IF(TRIM(Raw_Data!H99)="","Not Assigned",TRIM(Raw_Data!H99))</f>
        <v>Nova Wholesale</v>
      </c>
      <c r="J99" s="3" t="n">
        <f aca="false">DATE(VALUE(MID(SUBSTITUTE(Raw_Data!I99,"/","-"),7,4)),VALUE(MID(SUBSTITUTE(Raw_Data!I99,"/","-"),4,2)),VALUE(LEFT(SUBSTITUTE(Raw_Data!I99,"/","-"),2)))</f>
        <v>45799</v>
      </c>
      <c r="K99" s="2" t="str">
        <f aca="false">IF(COUNTIF(Raw_Data!$A$2:A99,Raw_Data!A99)&gt;1,"Duplicate - Remove","Keep")</f>
        <v>Keep</v>
      </c>
      <c r="L99" s="2" t="str">
        <f aca="false">IF(E99&lt;H99,"Reorder Needed","OK")</f>
        <v>OK</v>
      </c>
    </row>
    <row r="100" customFormat="false" ht="15" hidden="false" customHeight="false" outlineLevel="0" collapsed="false">
      <c r="A100" s="2" t="str">
        <f aca="false">Raw_Data!A100</f>
        <v>SKU1044</v>
      </c>
      <c r="B100" s="2" t="str">
        <f aca="false">TRIM(PROPER(Raw_Data!B100))</f>
        <v>Electric Kettle 1.5L</v>
      </c>
      <c r="C100" s="2" t="str">
        <f aca="false">PROPER(TRIM(Raw_Data!C100))</f>
        <v>Home Appliances</v>
      </c>
      <c r="D100" s="2" t="str">
        <f aca="false">IF(ISNUMBER(SEARCH("north",Raw_Data!D100)),"WH-North",IF(ISNUMBER(SEARCH("south",Raw_Data!D100)),"WH-South",IF(ISNUMBER(SEARCH("east",Raw_Data!D100)),"WH-East",IF(ISNUMBER(SEARCH("west",Raw_Data!D100)),"WH-West","Unknown"))))</f>
        <v>WH-West</v>
      </c>
      <c r="E100" s="2" t="n">
        <f aca="false">IF(Raw_Data!E100&lt;0,0,Raw_Data!E100)</f>
        <v>285</v>
      </c>
      <c r="F100" s="2" t="str">
        <f aca="false">IF(Raw_Data!E100&lt;0,"Yes","No")</f>
        <v>No</v>
      </c>
      <c r="G100" s="2" t="n">
        <f aca="false">IF(Raw_Data!F100="",ROUND(AVERAGEIFS(Raw_Data!$F$2:$F$176,$C$2:$C$176,C100),2),Raw_Data!F100)</f>
        <v>678.67</v>
      </c>
      <c r="H100" s="2" t="n">
        <f aca="false">Raw_Data!G100</f>
        <v>37</v>
      </c>
      <c r="I100" s="2" t="str">
        <f aca="false">IF(TRIM(Raw_Data!H100)="","Not Assigned",TRIM(Raw_Data!H100))</f>
        <v>Fine Goods Pvt Ltd</v>
      </c>
      <c r="J100" s="3" t="n">
        <f aca="false">DATE(VALUE(MID(SUBSTITUTE(Raw_Data!I100,"/","-"),7,4)),VALUE(MID(SUBSTITUTE(Raw_Data!I100,"/","-"),4,2)),VALUE(LEFT(SUBSTITUTE(Raw_Data!I100,"/","-"),2)))</f>
        <v>45773</v>
      </c>
      <c r="K100" s="2" t="str">
        <f aca="false">IF(COUNTIF(Raw_Data!$A$2:A100,Raw_Data!A100)&gt;1,"Duplicate - Remove","Keep")</f>
        <v>Keep</v>
      </c>
      <c r="L100" s="2" t="str">
        <f aca="false">IF(E100&lt;H100,"Reorder Needed","OK")</f>
        <v>OK</v>
      </c>
    </row>
    <row r="101" customFormat="false" ht="15" hidden="false" customHeight="false" outlineLevel="0" collapsed="false">
      <c r="A101" s="2" t="str">
        <f aca="false">Raw_Data!A101</f>
        <v>SKU1076</v>
      </c>
      <c r="B101" s="2" t="str">
        <f aca="false">TRIM(PROPER(Raw_Data!B101))</f>
        <v>Study Table</v>
      </c>
      <c r="C101" s="2" t="str">
        <f aca="false">PROPER(TRIM(Raw_Data!C101))</f>
        <v>Furniture</v>
      </c>
      <c r="D101" s="2" t="str">
        <f aca="false">IF(ISNUMBER(SEARCH("north",Raw_Data!D101)),"WH-North",IF(ISNUMBER(SEARCH("south",Raw_Data!D101)),"WH-South",IF(ISNUMBER(SEARCH("east",Raw_Data!D101)),"WH-East",IF(ISNUMBER(SEARCH("west",Raw_Data!D101)),"WH-West","Unknown"))))</f>
        <v>WH-West</v>
      </c>
      <c r="E101" s="2" t="n">
        <f aca="false">IF(Raw_Data!E101&lt;0,0,Raw_Data!E101)</f>
        <v>127</v>
      </c>
      <c r="F101" s="2" t="str">
        <f aca="false">IF(Raw_Data!E101&lt;0,"Yes","No")</f>
        <v>No</v>
      </c>
      <c r="G101" s="2" t="n">
        <f aca="false">IF(Raw_Data!F101="",ROUND(AVERAGEIFS(Raw_Data!$F$2:$F$176,$C$2:$C$176,C101),2),Raw_Data!F101)</f>
        <v>1277.46</v>
      </c>
      <c r="H101" s="2" t="n">
        <f aca="false">Raw_Data!G101</f>
        <v>10</v>
      </c>
      <c r="I101" s="2" t="str">
        <f aca="false">IF(TRIM(Raw_Data!H101)="","Not Assigned",TRIM(Raw_Data!H101))</f>
        <v>Nova Wholesale</v>
      </c>
      <c r="J101" s="3" t="n">
        <f aca="false">DATE(VALUE(MID(SUBSTITUTE(Raw_Data!I101,"/","-"),7,4)),VALUE(MID(SUBSTITUTE(Raw_Data!I101,"/","-"),4,2)),VALUE(LEFT(SUBSTITUTE(Raw_Data!I101,"/","-"),2)))</f>
        <v>45762</v>
      </c>
      <c r="K101" s="2" t="str">
        <f aca="false">IF(COUNTIF(Raw_Data!$A$2:A101,Raw_Data!A101)&gt;1,"Duplicate - Remove","Keep")</f>
        <v>Keep</v>
      </c>
      <c r="L101" s="2" t="str">
        <f aca="false">IF(E101&lt;H101,"Reorder Needed","OK")</f>
        <v>OK</v>
      </c>
    </row>
    <row r="102" customFormat="false" ht="15" hidden="false" customHeight="false" outlineLevel="0" collapsed="false">
      <c r="A102" s="2" t="str">
        <f aca="false">Raw_Data!A102</f>
        <v>SKU1039</v>
      </c>
      <c r="B102" s="2" t="str">
        <f aca="false">TRIM(PROPER(Raw_Data!B102))</f>
        <v>Stapler Small</v>
      </c>
      <c r="C102" s="2" t="str">
        <f aca="false">PROPER(TRIM(Raw_Data!C102))</f>
        <v>Stationery</v>
      </c>
      <c r="D102" s="2" t="str">
        <f aca="false">IF(ISNUMBER(SEARCH("north",Raw_Data!D102)),"WH-North",IF(ISNUMBER(SEARCH("south",Raw_Data!D102)),"WH-South",IF(ISNUMBER(SEARCH("east",Raw_Data!D102)),"WH-East",IF(ISNUMBER(SEARCH("west",Raw_Data!D102)),"WH-West","Unknown"))))</f>
        <v>WH-East</v>
      </c>
      <c r="E102" s="2" t="n">
        <f aca="false">IF(Raw_Data!E102&lt;0,0,Raw_Data!E102)</f>
        <v>225</v>
      </c>
      <c r="F102" s="2" t="str">
        <f aca="false">IF(Raw_Data!E102&lt;0,"Yes","No")</f>
        <v>No</v>
      </c>
      <c r="G102" s="2" t="n">
        <f aca="false">IF(Raw_Data!F102="",ROUND(AVERAGEIFS(Raw_Data!$F$2:$F$176,$C$2:$C$176,C102),2),Raw_Data!F102)</f>
        <v>2446.31</v>
      </c>
      <c r="H102" s="2" t="n">
        <f aca="false">Raw_Data!G102</f>
        <v>20</v>
      </c>
      <c r="I102" s="2" t="str">
        <f aca="false">IF(TRIM(Raw_Data!H102)="","Not Assigned",TRIM(Raw_Data!H102))</f>
        <v>Fine Goods Pvt Ltd</v>
      </c>
      <c r="J102" s="3" t="n">
        <f aca="false">DATE(VALUE(MID(SUBSTITUTE(Raw_Data!I102,"/","-"),7,4)),VALUE(MID(SUBSTITUTE(Raw_Data!I102,"/","-"),4,2)),VALUE(LEFT(SUBSTITUTE(Raw_Data!I102,"/","-"),2)))</f>
        <v>45771</v>
      </c>
      <c r="K102" s="2" t="str">
        <f aca="false">IF(COUNTIF(Raw_Data!$A$2:A102,Raw_Data!A102)&gt;1,"Duplicate - Remove","Keep")</f>
        <v>Keep</v>
      </c>
      <c r="L102" s="2" t="str">
        <f aca="false">IF(E102&lt;H102,"Reorder Needed","OK")</f>
        <v>OK</v>
      </c>
    </row>
    <row r="103" customFormat="false" ht="15" hidden="false" customHeight="false" outlineLevel="0" collapsed="false">
      <c r="A103" s="2" t="str">
        <f aca="false">Raw_Data!A103</f>
        <v>SKU1095</v>
      </c>
      <c r="B103" s="2" t="str">
        <f aca="false">TRIM(PROPER(Raw_Data!B103))</f>
        <v>Sports Sandals</v>
      </c>
      <c r="C103" s="2" t="str">
        <f aca="false">PROPER(TRIM(Raw_Data!C103))</f>
        <v>Footwear</v>
      </c>
      <c r="D103" s="2" t="str">
        <f aca="false">IF(ISNUMBER(SEARCH("north",Raw_Data!D103)),"WH-North",IF(ISNUMBER(SEARCH("south",Raw_Data!D103)),"WH-South",IF(ISNUMBER(SEARCH("east",Raw_Data!D103)),"WH-East",IF(ISNUMBER(SEARCH("west",Raw_Data!D103)),"WH-West","Unknown"))))</f>
        <v>WH-East</v>
      </c>
      <c r="E103" s="2" t="n">
        <f aca="false">IF(Raw_Data!E103&lt;0,0,Raw_Data!E103)</f>
        <v>118</v>
      </c>
      <c r="F103" s="2" t="str">
        <f aca="false">IF(Raw_Data!E103&lt;0,"Yes","No")</f>
        <v>No</v>
      </c>
      <c r="G103" s="2" t="n">
        <f aca="false">IF(Raw_Data!F103="",ROUND(AVERAGEIFS(Raw_Data!$F$2:$F$176,$C$2:$C$176,C103),2),Raw_Data!F103)</f>
        <v>2559.85</v>
      </c>
      <c r="H103" s="2" t="n">
        <f aca="false">Raw_Data!G103</f>
        <v>24</v>
      </c>
      <c r="I103" s="2" t="str">
        <f aca="false">IF(TRIM(Raw_Data!H103)="","Not Assigned",TRIM(Raw_Data!H103))</f>
        <v>Prime Vendors</v>
      </c>
      <c r="J103" s="3" t="n">
        <f aca="false">DATE(VALUE(MID(SUBSTITUTE(Raw_Data!I103,"/","-"),7,4)),VALUE(MID(SUBSTITUTE(Raw_Data!I103,"/","-"),4,2)),VALUE(LEFT(SUBSTITUTE(Raw_Data!I103,"/","-"),2)))</f>
        <v>45735</v>
      </c>
      <c r="K103" s="2" t="str">
        <f aca="false">IF(COUNTIF(Raw_Data!$A$2:A103,Raw_Data!A103)&gt;1,"Duplicate - Remove","Keep")</f>
        <v>Keep</v>
      </c>
      <c r="L103" s="2" t="str">
        <f aca="false">IF(E103&lt;H103,"Reorder Needed","OK")</f>
        <v>OK</v>
      </c>
    </row>
    <row r="104" customFormat="false" ht="15" hidden="false" customHeight="false" outlineLevel="0" collapsed="false">
      <c r="A104" s="2" t="str">
        <f aca="false">Raw_Data!A104</f>
        <v>SKU1107</v>
      </c>
      <c r="B104" s="2" t="str">
        <f aca="false">TRIM(PROPER(Raw_Data!B104))</f>
        <v>Denim Jeans</v>
      </c>
      <c r="C104" s="2" t="str">
        <f aca="false">PROPER(TRIM(Raw_Data!C104))</f>
        <v>Apparel</v>
      </c>
      <c r="D104" s="2" t="str">
        <f aca="false">IF(ISNUMBER(SEARCH("north",Raw_Data!D104)),"WH-North",IF(ISNUMBER(SEARCH("south",Raw_Data!D104)),"WH-South",IF(ISNUMBER(SEARCH("east",Raw_Data!D104)),"WH-East",IF(ISNUMBER(SEARCH("west",Raw_Data!D104)),"WH-West","Unknown"))))</f>
        <v>WH-East</v>
      </c>
      <c r="E104" s="2" t="n">
        <f aca="false">IF(Raw_Data!E104&lt;0,0,Raw_Data!E104)</f>
        <v>51</v>
      </c>
      <c r="F104" s="2" t="str">
        <f aca="false">IF(Raw_Data!E104&lt;0,"Yes","No")</f>
        <v>No</v>
      </c>
      <c r="G104" s="2" t="n">
        <f aca="false">IF(Raw_Data!F104="",ROUND(AVERAGEIFS(Raw_Data!$F$2:$F$176,$C$2:$C$176,C104),2),Raw_Data!F104)</f>
        <v>418.26</v>
      </c>
      <c r="H104" s="2" t="n">
        <f aca="false">Raw_Data!G104</f>
        <v>13</v>
      </c>
      <c r="I104" s="2" t="str">
        <f aca="false">IF(TRIM(Raw_Data!H104)="","Not Assigned",TRIM(Raw_Data!H104))</f>
        <v>Prime Vendors</v>
      </c>
      <c r="J104" s="3" t="n">
        <f aca="false">DATE(VALUE(MID(SUBSTITUTE(Raw_Data!I104,"/","-"),7,4)),VALUE(MID(SUBSTITUTE(Raw_Data!I104,"/","-"),4,2)),VALUE(LEFT(SUBSTITUTE(Raw_Data!I104,"/","-"),2)))</f>
        <v>45847</v>
      </c>
      <c r="K104" s="2" t="str">
        <f aca="false">IF(COUNTIF(Raw_Data!$A$2:A104,Raw_Data!A104)&gt;1,"Duplicate - Remove","Keep")</f>
        <v>Keep</v>
      </c>
      <c r="L104" s="2" t="str">
        <f aca="false">IF(E104&lt;H104,"Reorder Needed","OK")</f>
        <v>OK</v>
      </c>
    </row>
    <row r="105" customFormat="false" ht="15" hidden="false" customHeight="false" outlineLevel="0" collapsed="false">
      <c r="A105" s="2" t="str">
        <f aca="false">Raw_Data!A105</f>
        <v>SKU1051</v>
      </c>
      <c r="B105" s="2" t="str">
        <f aca="false">TRIM(PROPER(Raw_Data!B105))</f>
        <v>Mixer Grinder 500W</v>
      </c>
      <c r="C105" s="2" t="str">
        <f aca="false">PROPER(TRIM(Raw_Data!C105))</f>
        <v>Home Appliances</v>
      </c>
      <c r="D105" s="2" t="str">
        <f aca="false">IF(ISNUMBER(SEARCH("north",Raw_Data!D105)),"WH-North",IF(ISNUMBER(SEARCH("south",Raw_Data!D105)),"WH-South",IF(ISNUMBER(SEARCH("east",Raw_Data!D105)),"WH-East",IF(ISNUMBER(SEARCH("west",Raw_Data!D105)),"WH-West","Unknown"))))</f>
        <v>WH-East</v>
      </c>
      <c r="E105" s="2" t="n">
        <f aca="false">IF(Raw_Data!E105&lt;0,0,Raw_Data!E105)</f>
        <v>281</v>
      </c>
      <c r="F105" s="2" t="str">
        <f aca="false">IF(Raw_Data!E105&lt;0,"Yes","No")</f>
        <v>No</v>
      </c>
      <c r="G105" s="2" t="n">
        <f aca="false">IF(Raw_Data!F105="",ROUND(AVERAGEIFS(Raw_Data!$F$2:$F$176,$C$2:$C$176,C105),2),Raw_Data!F105)</f>
        <v>2756.18</v>
      </c>
      <c r="H105" s="2" t="n">
        <f aca="false">Raw_Data!G105</f>
        <v>17</v>
      </c>
      <c r="I105" s="2" t="str">
        <f aca="false">IF(TRIM(Raw_Data!H105)="","Not Assigned",TRIM(Raw_Data!H105))</f>
        <v>Prime Vendors</v>
      </c>
      <c r="J105" s="3" t="n">
        <f aca="false">DATE(VALUE(MID(SUBSTITUTE(Raw_Data!I105,"/","-"),7,4)),VALUE(MID(SUBSTITUTE(Raw_Data!I105,"/","-"),4,2)),VALUE(LEFT(SUBSTITUTE(Raw_Data!I105,"/","-"),2)))</f>
        <v>45675</v>
      </c>
      <c r="K105" s="2" t="str">
        <f aca="false">IF(COUNTIF(Raw_Data!$A$2:A105,Raw_Data!A105)&gt;1,"Duplicate - Remove","Keep")</f>
        <v>Keep</v>
      </c>
      <c r="L105" s="2" t="str">
        <f aca="false">IF(E105&lt;H105,"Reorder Needed","OK")</f>
        <v>OK</v>
      </c>
    </row>
    <row r="106" customFormat="false" ht="15" hidden="false" customHeight="false" outlineLevel="0" collapsed="false">
      <c r="A106" s="2" t="str">
        <f aca="false">Raw_Data!A106</f>
        <v>SKU1021</v>
      </c>
      <c r="B106" s="2" t="str">
        <f aca="false">TRIM(PROPER(Raw_Data!B106))</f>
        <v>Gel Pen Blue</v>
      </c>
      <c r="C106" s="2" t="str">
        <f aca="false">PROPER(TRIM(Raw_Data!C106))</f>
        <v>Stationery</v>
      </c>
      <c r="D106" s="2" t="str">
        <f aca="false">IF(ISNUMBER(SEARCH("north",Raw_Data!D106)),"WH-North",IF(ISNUMBER(SEARCH("south",Raw_Data!D106)),"WH-South",IF(ISNUMBER(SEARCH("east",Raw_Data!D106)),"WH-East",IF(ISNUMBER(SEARCH("west",Raw_Data!D106)),"WH-West","Unknown"))))</f>
        <v>WH-North</v>
      </c>
      <c r="E106" s="2" t="n">
        <f aca="false">IF(Raw_Data!E106&lt;0,0,Raw_Data!E106)</f>
        <v>204</v>
      </c>
      <c r="F106" s="2" t="str">
        <f aca="false">IF(Raw_Data!E106&lt;0,"Yes","No")</f>
        <v>No</v>
      </c>
      <c r="G106" s="2" t="n">
        <f aca="false">IF(Raw_Data!F106="",ROUND(AVERAGEIFS(Raw_Data!$F$2:$F$176,$C$2:$C$176,C106),2),Raw_Data!F106)</f>
        <v>1685.84</v>
      </c>
      <c r="H106" s="2" t="n">
        <f aca="false">Raw_Data!G106</f>
        <v>24</v>
      </c>
      <c r="I106" s="2" t="str">
        <f aca="false">IF(TRIM(Raw_Data!H106)="","Not Assigned",TRIM(Raw_Data!H106))</f>
        <v>Metro Distributors</v>
      </c>
      <c r="J106" s="3" t="n">
        <f aca="false">DATE(VALUE(MID(SUBSTITUTE(Raw_Data!I106,"/","-"),7,4)),VALUE(MID(SUBSTITUTE(Raw_Data!I106,"/","-"),4,2)),VALUE(LEFT(SUBSTITUTE(Raw_Data!I106,"/","-"),2)))</f>
        <v>45766</v>
      </c>
      <c r="K106" s="2" t="str">
        <f aca="false">IF(COUNTIF(Raw_Data!$A$2:A106,Raw_Data!A106)&gt;1,"Duplicate - Remove","Keep")</f>
        <v>Keep</v>
      </c>
      <c r="L106" s="2" t="str">
        <f aca="false">IF(E106&lt;H106,"Reorder Needed","OK")</f>
        <v>OK</v>
      </c>
    </row>
    <row r="107" customFormat="false" ht="15" hidden="false" customHeight="false" outlineLevel="0" collapsed="false">
      <c r="A107" s="2" t="str">
        <f aca="false">Raw_Data!A107</f>
        <v>SKU1041</v>
      </c>
      <c r="B107" s="2" t="str">
        <f aca="false">TRIM(PROPER(Raw_Data!B107))</f>
        <v>Electric Kettle 1.5L</v>
      </c>
      <c r="C107" s="2" t="str">
        <f aca="false">PROPER(TRIM(Raw_Data!C107))</f>
        <v>Home Appliances</v>
      </c>
      <c r="D107" s="2" t="str">
        <f aca="false">IF(ISNUMBER(SEARCH("north",Raw_Data!D107)),"WH-North",IF(ISNUMBER(SEARCH("south",Raw_Data!D107)),"WH-South",IF(ISNUMBER(SEARCH("east",Raw_Data!D107)),"WH-East",IF(ISNUMBER(SEARCH("west",Raw_Data!D107)),"WH-West","Unknown"))))</f>
        <v>WH-North</v>
      </c>
      <c r="E107" s="2" t="n">
        <f aca="false">IF(Raw_Data!E107&lt;0,0,Raw_Data!E107)</f>
        <v>248</v>
      </c>
      <c r="F107" s="2" t="str">
        <f aca="false">IF(Raw_Data!E107&lt;0,"Yes","No")</f>
        <v>No</v>
      </c>
      <c r="G107" s="2" t="n">
        <f aca="false">IF(Raw_Data!F107="",ROUND(AVERAGEIFS(Raw_Data!$F$2:$F$176,$C$2:$C$176,C107),2),Raw_Data!F107)</f>
        <v>3085.53</v>
      </c>
      <c r="H107" s="2" t="n">
        <f aca="false">Raw_Data!G107</f>
        <v>24</v>
      </c>
      <c r="I107" s="2" t="str">
        <f aca="false">IF(TRIM(Raw_Data!H107)="","Not Assigned",TRIM(Raw_Data!H107))</f>
        <v>Fine Goods Pvt Ltd</v>
      </c>
      <c r="J107" s="3" t="n">
        <f aca="false">DATE(VALUE(MID(SUBSTITUTE(Raw_Data!I107,"/","-"),7,4)),VALUE(MID(SUBSTITUTE(Raw_Data!I107,"/","-"),4,2)),VALUE(LEFT(SUBSTITUTE(Raw_Data!I107,"/","-"),2)))</f>
        <v>45884</v>
      </c>
      <c r="K107" s="2" t="str">
        <f aca="false">IF(COUNTIF(Raw_Data!$A$2:A107,Raw_Data!A107)&gt;1,"Duplicate - Remove","Keep")</f>
        <v>Keep</v>
      </c>
      <c r="L107" s="2" t="str">
        <f aca="false">IF(E107&lt;H107,"Reorder Needed","OK")</f>
        <v>OK</v>
      </c>
    </row>
    <row r="108" customFormat="false" ht="15" hidden="false" customHeight="false" outlineLevel="0" collapsed="false">
      <c r="A108" s="2" t="str">
        <f aca="false">Raw_Data!A108</f>
        <v>SKU1049</v>
      </c>
      <c r="B108" s="2" t="str">
        <f aca="false">TRIM(PROPER(Raw_Data!B108))</f>
        <v>Mixer Grinder 500W</v>
      </c>
      <c r="C108" s="2" t="str">
        <f aca="false">PROPER(TRIM(Raw_Data!C108))</f>
        <v>Home Appliances</v>
      </c>
      <c r="D108" s="2" t="str">
        <f aca="false">IF(ISNUMBER(SEARCH("north",Raw_Data!D108)),"WH-North",IF(ISNUMBER(SEARCH("south",Raw_Data!D108)),"WH-South",IF(ISNUMBER(SEARCH("east",Raw_Data!D108)),"WH-East",IF(ISNUMBER(SEARCH("west",Raw_Data!D108)),"WH-West","Unknown"))))</f>
        <v>WH-North</v>
      </c>
      <c r="E108" s="2" t="n">
        <f aca="false">IF(Raw_Data!E108&lt;0,0,Raw_Data!E108)</f>
        <v>89</v>
      </c>
      <c r="F108" s="2" t="str">
        <f aca="false">IF(Raw_Data!E108&lt;0,"Yes","No")</f>
        <v>No</v>
      </c>
      <c r="G108" s="2" t="n">
        <f aca="false">IF(Raw_Data!F108="",ROUND(AVERAGEIFS(Raw_Data!$F$2:$F$176,$C$2:$C$176,C108),2),Raw_Data!F108)</f>
        <v>3682.19</v>
      </c>
      <c r="H108" s="2" t="n">
        <f aca="false">Raw_Data!G108</f>
        <v>29</v>
      </c>
      <c r="I108" s="2" t="str">
        <f aca="false">IF(TRIM(Raw_Data!H108)="","Not Assigned",TRIM(Raw_Data!H108))</f>
        <v>Nova Wholesale</v>
      </c>
      <c r="J108" s="3" t="n">
        <f aca="false">DATE(VALUE(MID(SUBSTITUTE(Raw_Data!I108,"/","-"),7,4)),VALUE(MID(SUBSTITUTE(Raw_Data!I108,"/","-"),4,2)),VALUE(LEFT(SUBSTITUTE(Raw_Data!I108,"/","-"),2)))</f>
        <v>45664</v>
      </c>
      <c r="K108" s="2" t="str">
        <f aca="false">IF(COUNTIF(Raw_Data!$A$2:A108,Raw_Data!A108)&gt;1,"Duplicate - Remove","Keep")</f>
        <v>Duplicate - Remove</v>
      </c>
      <c r="L108" s="2" t="str">
        <f aca="false">IF(E108&lt;H108,"Reorder Needed","OK")</f>
        <v>OK</v>
      </c>
    </row>
    <row r="109" customFormat="false" ht="15" hidden="false" customHeight="false" outlineLevel="0" collapsed="false">
      <c r="A109" s="2" t="str">
        <f aca="false">Raw_Data!A109</f>
        <v>SKU1042</v>
      </c>
      <c r="B109" s="2" t="str">
        <f aca="false">TRIM(PROPER(Raw_Data!B109))</f>
        <v>Electric Kettle 1.5L</v>
      </c>
      <c r="C109" s="2" t="str">
        <f aca="false">PROPER(TRIM(Raw_Data!C109))</f>
        <v>Home Appliances</v>
      </c>
      <c r="D109" s="2" t="str">
        <f aca="false">IF(ISNUMBER(SEARCH("north",Raw_Data!D109)),"WH-North",IF(ISNUMBER(SEARCH("south",Raw_Data!D109)),"WH-South",IF(ISNUMBER(SEARCH("east",Raw_Data!D109)),"WH-East",IF(ISNUMBER(SEARCH("west",Raw_Data!D109)),"WH-West","Unknown"))))</f>
        <v>WH-South</v>
      </c>
      <c r="E109" s="2" t="n">
        <f aca="false">IF(Raw_Data!E109&lt;0,0,Raw_Data!E109)</f>
        <v>7</v>
      </c>
      <c r="F109" s="2" t="str">
        <f aca="false">IF(Raw_Data!E109&lt;0,"Yes","No")</f>
        <v>No</v>
      </c>
      <c r="G109" s="2" t="n">
        <f aca="false">IF(Raw_Data!F109="",ROUND(AVERAGEIFS(Raw_Data!$F$2:$F$176,$C$2:$C$176,C109),2),Raw_Data!F109)</f>
        <v>3448.74</v>
      </c>
      <c r="H109" s="2" t="n">
        <f aca="false">Raw_Data!G109</f>
        <v>38</v>
      </c>
      <c r="I109" s="2" t="str">
        <f aca="false">IF(TRIM(Raw_Data!H109)="","Not Assigned",TRIM(Raw_Data!H109))</f>
        <v>Sharma Traders</v>
      </c>
      <c r="J109" s="3" t="n">
        <f aca="false">DATE(VALUE(MID(SUBSTITUTE(Raw_Data!I109,"/","-"),7,4)),VALUE(MID(SUBSTITUTE(Raw_Data!I109,"/","-"),4,2)),VALUE(LEFT(SUBSTITUTE(Raw_Data!I109,"/","-"),2)))</f>
        <v>45857</v>
      </c>
      <c r="K109" s="2" t="str">
        <f aca="false">IF(COUNTIF(Raw_Data!$A$2:A109,Raw_Data!A109)&gt;1,"Duplicate - Remove","Keep")</f>
        <v>Keep</v>
      </c>
      <c r="L109" s="2" t="str">
        <f aca="false">IF(E109&lt;H109,"Reorder Needed","OK")</f>
        <v>Reorder Needed</v>
      </c>
    </row>
    <row r="110" customFormat="false" ht="15" hidden="false" customHeight="false" outlineLevel="0" collapsed="false">
      <c r="A110" s="2" t="str">
        <f aca="false">Raw_Data!A110</f>
        <v>SKU1119</v>
      </c>
      <c r="B110" s="2" t="str">
        <f aca="false">TRIM(PROPER(Raw_Data!B110))</f>
        <v>Winter Jacket</v>
      </c>
      <c r="C110" s="2" t="str">
        <f aca="false">PROPER(TRIM(Raw_Data!C110))</f>
        <v>Apparel</v>
      </c>
      <c r="D110" s="2" t="str">
        <f aca="false">IF(ISNUMBER(SEARCH("north",Raw_Data!D110)),"WH-North",IF(ISNUMBER(SEARCH("south",Raw_Data!D110)),"WH-South",IF(ISNUMBER(SEARCH("east",Raw_Data!D110)),"WH-East",IF(ISNUMBER(SEARCH("west",Raw_Data!D110)),"WH-West","Unknown"))))</f>
        <v>WH-East</v>
      </c>
      <c r="E110" s="2" t="n">
        <f aca="false">IF(Raw_Data!E110&lt;0,0,Raw_Data!E110)</f>
        <v>163</v>
      </c>
      <c r="F110" s="2" t="str">
        <f aca="false">IF(Raw_Data!E110&lt;0,"Yes","No")</f>
        <v>No</v>
      </c>
      <c r="G110" s="2" t="n">
        <f aca="false">IF(Raw_Data!F110="",ROUND(AVERAGEIFS(Raw_Data!$F$2:$F$176,$C$2:$C$176,C110),2),Raw_Data!F110)</f>
        <v>925.21</v>
      </c>
      <c r="H110" s="2" t="n">
        <f aca="false">Raw_Data!G110</f>
        <v>34</v>
      </c>
      <c r="I110" s="2" t="str">
        <f aca="false">IF(TRIM(Raw_Data!H110)="","Not Assigned",TRIM(Raw_Data!H110))</f>
        <v>Global Supply Co</v>
      </c>
      <c r="J110" s="3" t="n">
        <f aca="false">DATE(VALUE(MID(SUBSTITUTE(Raw_Data!I110,"/","-"),7,4)),VALUE(MID(SUBSTITUTE(Raw_Data!I110,"/","-"),4,2)),VALUE(LEFT(SUBSTITUTE(Raw_Data!I110,"/","-"),2)))</f>
        <v>45677</v>
      </c>
      <c r="K110" s="2" t="str">
        <f aca="false">IF(COUNTIF(Raw_Data!$A$2:A110,Raw_Data!A110)&gt;1,"Duplicate - Remove","Keep")</f>
        <v>Keep</v>
      </c>
      <c r="L110" s="2" t="str">
        <f aca="false">IF(E110&lt;H110,"Reorder Needed","OK")</f>
        <v>OK</v>
      </c>
    </row>
    <row r="111" customFormat="false" ht="15" hidden="false" customHeight="false" outlineLevel="0" collapsed="false">
      <c r="A111" s="2" t="str">
        <f aca="false">Raw_Data!A111</f>
        <v>SKU1125</v>
      </c>
      <c r="B111" s="2" t="str">
        <f aca="false">TRIM(PROPER(Raw_Data!B111))</f>
        <v>Steel Tiffin Box</v>
      </c>
      <c r="C111" s="2" t="str">
        <f aca="false">PROPER(TRIM(Raw_Data!C111))</f>
        <v>Kitchenware</v>
      </c>
      <c r="D111" s="2" t="str">
        <f aca="false">IF(ISNUMBER(SEARCH("north",Raw_Data!D111)),"WH-North",IF(ISNUMBER(SEARCH("south",Raw_Data!D111)),"WH-South",IF(ISNUMBER(SEARCH("east",Raw_Data!D111)),"WH-East",IF(ISNUMBER(SEARCH("west",Raw_Data!D111)),"WH-West","Unknown"))))</f>
        <v>WH-North</v>
      </c>
      <c r="E111" s="2" t="n">
        <f aca="false">IF(Raw_Data!E111&lt;0,0,Raw_Data!E111)</f>
        <v>273</v>
      </c>
      <c r="F111" s="2" t="str">
        <f aca="false">IF(Raw_Data!E111&lt;0,"Yes","No")</f>
        <v>No</v>
      </c>
      <c r="G111" s="2" t="n">
        <f aca="false">IF(Raw_Data!F111="",ROUND(AVERAGEIFS(Raw_Data!$F$2:$F$176,$C$2:$C$176,C111),2),Raw_Data!F111)</f>
        <v>677.05</v>
      </c>
      <c r="H111" s="2" t="n">
        <f aca="false">Raw_Data!G111</f>
        <v>21</v>
      </c>
      <c r="I111" s="2" t="str">
        <f aca="false">IF(TRIM(Raw_Data!H111)="","Not Assigned",TRIM(Raw_Data!H111))</f>
        <v>Metro Distributors</v>
      </c>
      <c r="J111" s="3" t="n">
        <f aca="false">DATE(VALUE(MID(SUBSTITUTE(Raw_Data!I111,"/","-"),7,4)),VALUE(MID(SUBSTITUTE(Raw_Data!I111,"/","-"),4,2)),VALUE(LEFT(SUBSTITUTE(Raw_Data!I111,"/","-"),2)))</f>
        <v>45757</v>
      </c>
      <c r="K111" s="2" t="str">
        <f aca="false">IF(COUNTIF(Raw_Data!$A$2:A111,Raw_Data!A111)&gt;1,"Duplicate - Remove","Keep")</f>
        <v>Keep</v>
      </c>
      <c r="L111" s="2" t="str">
        <f aca="false">IF(E111&lt;H111,"Reorder Needed","OK")</f>
        <v>OK</v>
      </c>
    </row>
    <row r="112" customFormat="false" ht="15" hidden="false" customHeight="false" outlineLevel="0" collapsed="false">
      <c r="A112" s="2" t="str">
        <f aca="false">Raw_Data!A112</f>
        <v>SKU1126</v>
      </c>
      <c r="B112" s="2" t="str">
        <f aca="false">TRIM(PROPER(Raw_Data!B112))</f>
        <v>Steel Tiffin Box</v>
      </c>
      <c r="C112" s="2" t="str">
        <f aca="false">PROPER(TRIM(Raw_Data!C112))</f>
        <v>Kitchenware</v>
      </c>
      <c r="D112" s="2" t="str">
        <f aca="false">IF(ISNUMBER(SEARCH("north",Raw_Data!D112)),"WH-North",IF(ISNUMBER(SEARCH("south",Raw_Data!D112)),"WH-South",IF(ISNUMBER(SEARCH("east",Raw_Data!D112)),"WH-East",IF(ISNUMBER(SEARCH("west",Raw_Data!D112)),"WH-West","Unknown"))))</f>
        <v>WH-South</v>
      </c>
      <c r="E112" s="2" t="n">
        <f aca="false">IF(Raw_Data!E112&lt;0,0,Raw_Data!E112)</f>
        <v>53</v>
      </c>
      <c r="F112" s="2" t="str">
        <f aca="false">IF(Raw_Data!E112&lt;0,"Yes","No")</f>
        <v>No</v>
      </c>
      <c r="G112" s="2" t="n">
        <f aca="false">IF(Raw_Data!F112="",ROUND(AVERAGEIFS(Raw_Data!$F$2:$F$176,$C$2:$C$176,C112),2),Raw_Data!F112)</f>
        <v>1576.93</v>
      </c>
      <c r="H112" s="2" t="n">
        <f aca="false">Raw_Data!G112</f>
        <v>18</v>
      </c>
      <c r="I112" s="2" t="str">
        <f aca="false">IF(TRIM(Raw_Data!H112)="","Not Assigned",TRIM(Raw_Data!H112))</f>
        <v>Prime Vendors</v>
      </c>
      <c r="J112" s="3" t="n">
        <f aca="false">DATE(VALUE(MID(SUBSTITUTE(Raw_Data!I112,"/","-"),7,4)),VALUE(MID(SUBSTITUTE(Raw_Data!I112,"/","-"),4,2)),VALUE(LEFT(SUBSTITUTE(Raw_Data!I112,"/","-"),2)))</f>
        <v>45876</v>
      </c>
      <c r="K112" s="2" t="str">
        <f aca="false">IF(COUNTIF(Raw_Data!$A$2:A112,Raw_Data!A112)&gt;1,"Duplicate - Remove","Keep")</f>
        <v>Keep</v>
      </c>
      <c r="L112" s="2" t="str">
        <f aca="false">IF(E112&lt;H112,"Reorder Needed","OK")</f>
        <v>OK</v>
      </c>
    </row>
    <row r="113" customFormat="false" ht="15" hidden="false" customHeight="false" outlineLevel="0" collapsed="false">
      <c r="A113" s="2" t="str">
        <f aca="false">Raw_Data!A113</f>
        <v>SKU1020</v>
      </c>
      <c r="B113" s="2" t="str">
        <f aca="false">TRIM(PROPER(Raw_Data!B113))</f>
        <v>Wall Charger 20W</v>
      </c>
      <c r="C113" s="2" t="str">
        <f aca="false">PROPER(TRIM(Raw_Data!C113))</f>
        <v>Electronics</v>
      </c>
      <c r="D113" s="2" t="str">
        <f aca="false">IF(ISNUMBER(SEARCH("north",Raw_Data!D113)),"WH-North",IF(ISNUMBER(SEARCH("south",Raw_Data!D113)),"WH-South",IF(ISNUMBER(SEARCH("east",Raw_Data!D113)),"WH-East",IF(ISNUMBER(SEARCH("west",Raw_Data!D113)),"WH-West","Unknown"))))</f>
        <v>WH-West</v>
      </c>
      <c r="E113" s="2" t="n">
        <f aca="false">IF(Raw_Data!E113&lt;0,0,Raw_Data!E113)</f>
        <v>52</v>
      </c>
      <c r="F113" s="2" t="str">
        <f aca="false">IF(Raw_Data!E113&lt;0,"Yes","No")</f>
        <v>No</v>
      </c>
      <c r="G113" s="2" t="n">
        <f aca="false">IF(Raw_Data!F113="",ROUND(AVERAGEIFS(Raw_Data!$F$2:$F$176,$C$2:$C$176,C113),2),Raw_Data!F113)</f>
        <v>1871.45</v>
      </c>
      <c r="H113" s="2" t="n">
        <f aca="false">Raw_Data!G113</f>
        <v>15</v>
      </c>
      <c r="I113" s="2" t="str">
        <f aca="false">IF(TRIM(Raw_Data!H113)="","Not Assigned",TRIM(Raw_Data!H113))</f>
        <v>Fine Goods Pvt Ltd</v>
      </c>
      <c r="J113" s="3" t="n">
        <f aca="false">DATE(VALUE(MID(SUBSTITUTE(Raw_Data!I113,"/","-"),7,4)),VALUE(MID(SUBSTITUTE(Raw_Data!I113,"/","-"),4,2)),VALUE(LEFT(SUBSTITUTE(Raw_Data!I113,"/","-"),2)))</f>
        <v>45782</v>
      </c>
      <c r="K113" s="2" t="str">
        <f aca="false">IF(COUNTIF(Raw_Data!$A$2:A113,Raw_Data!A113)&gt;1,"Duplicate - Remove","Keep")</f>
        <v>Keep</v>
      </c>
      <c r="L113" s="2" t="str">
        <f aca="false">IF(E113&lt;H113,"Reorder Needed","OK")</f>
        <v>OK</v>
      </c>
    </row>
    <row r="114" customFormat="false" ht="15" hidden="false" customHeight="false" outlineLevel="0" collapsed="false">
      <c r="A114" s="2" t="str">
        <f aca="false">Raw_Data!A114</f>
        <v>SKU1059</v>
      </c>
      <c r="B114" s="2" t="str">
        <f aca="false">TRIM(PROPER(Raw_Data!B114))</f>
        <v>Iron Box Steam</v>
      </c>
      <c r="C114" s="2" t="str">
        <f aca="false">PROPER(TRIM(Raw_Data!C114))</f>
        <v>Home Appliances</v>
      </c>
      <c r="D114" s="2" t="str">
        <f aca="false">IF(ISNUMBER(SEARCH("north",Raw_Data!D114)),"WH-North",IF(ISNUMBER(SEARCH("south",Raw_Data!D114)),"WH-South",IF(ISNUMBER(SEARCH("east",Raw_Data!D114)),"WH-East",IF(ISNUMBER(SEARCH("west",Raw_Data!D114)),"WH-West","Unknown"))))</f>
        <v>WH-East</v>
      </c>
      <c r="E114" s="2" t="n">
        <f aca="false">IF(Raw_Data!E114&lt;0,0,Raw_Data!E114)</f>
        <v>128</v>
      </c>
      <c r="F114" s="2" t="str">
        <f aca="false">IF(Raw_Data!E114&lt;0,"Yes","No")</f>
        <v>No</v>
      </c>
      <c r="G114" s="2" t="n">
        <f aca="false">IF(Raw_Data!F114="",ROUND(AVERAGEIFS(Raw_Data!$F$2:$F$176,$C$2:$C$176,C114),2),Raw_Data!F114)</f>
        <v>2601.32</v>
      </c>
      <c r="H114" s="2" t="n">
        <f aca="false">Raw_Data!G114</f>
        <v>25</v>
      </c>
      <c r="I114" s="2" t="str">
        <f aca="false">IF(TRIM(Raw_Data!H114)="","Not Assigned",TRIM(Raw_Data!H114))</f>
        <v>Fine Goods Pvt Ltd</v>
      </c>
      <c r="J114" s="3" t="n">
        <f aca="false">DATE(VALUE(MID(SUBSTITUTE(Raw_Data!I114,"/","-"),7,4)),VALUE(MID(SUBSTITUTE(Raw_Data!I114,"/","-"),4,2)),VALUE(LEFT(SUBSTITUTE(Raw_Data!I114,"/","-"),2)))</f>
        <v>45860</v>
      </c>
      <c r="K114" s="2" t="str">
        <f aca="false">IF(COUNTIF(Raw_Data!$A$2:A114,Raw_Data!A114)&gt;1,"Duplicate - Remove","Keep")</f>
        <v>Keep</v>
      </c>
      <c r="L114" s="2" t="str">
        <f aca="false">IF(E114&lt;H114,"Reorder Needed","OK")</f>
        <v>OK</v>
      </c>
    </row>
    <row r="115" customFormat="false" ht="15" hidden="false" customHeight="false" outlineLevel="0" collapsed="false">
      <c r="A115" s="2" t="str">
        <f aca="false">Raw_Data!A115</f>
        <v>SKU1067</v>
      </c>
      <c r="B115" s="2" t="str">
        <f aca="false">TRIM(PROPER(Raw_Data!B115))</f>
        <v>Folding Table</v>
      </c>
      <c r="C115" s="2" t="str">
        <f aca="false">PROPER(TRIM(Raw_Data!C115))</f>
        <v>Furniture</v>
      </c>
      <c r="D115" s="2" t="str">
        <f aca="false">IF(ISNUMBER(SEARCH("north",Raw_Data!D115)),"WH-North",IF(ISNUMBER(SEARCH("south",Raw_Data!D115)),"WH-South",IF(ISNUMBER(SEARCH("east",Raw_Data!D115)),"WH-East",IF(ISNUMBER(SEARCH("west",Raw_Data!D115)),"WH-West","Unknown"))))</f>
        <v>WH-East</v>
      </c>
      <c r="E115" s="2" t="n">
        <f aca="false">IF(Raw_Data!E115&lt;0,0,Raw_Data!E115)</f>
        <v>127</v>
      </c>
      <c r="F115" s="2" t="str">
        <f aca="false">IF(Raw_Data!E115&lt;0,"Yes","No")</f>
        <v>No</v>
      </c>
      <c r="G115" s="2" t="n">
        <f aca="false">IF(Raw_Data!F115="",ROUND(AVERAGEIFS(Raw_Data!$F$2:$F$176,$C$2:$C$176,C115),2),Raw_Data!F115)</f>
        <v>346.51</v>
      </c>
      <c r="H115" s="2" t="n">
        <f aca="false">Raw_Data!G115</f>
        <v>10</v>
      </c>
      <c r="I115" s="2" t="str">
        <f aca="false">IF(TRIM(Raw_Data!H115)="","Not Assigned",TRIM(Raw_Data!H115))</f>
        <v>Fine Goods Pvt Ltd</v>
      </c>
      <c r="J115" s="3" t="n">
        <f aca="false">DATE(VALUE(MID(SUBSTITUTE(Raw_Data!I115,"/","-"),7,4)),VALUE(MID(SUBSTITUTE(Raw_Data!I115,"/","-"),4,2)),VALUE(LEFT(SUBSTITUTE(Raw_Data!I115,"/","-"),2)))</f>
        <v>45773</v>
      </c>
      <c r="K115" s="2" t="str">
        <f aca="false">IF(COUNTIF(Raw_Data!$A$2:A115,Raw_Data!A115)&gt;1,"Duplicate - Remove","Keep")</f>
        <v>Keep</v>
      </c>
      <c r="L115" s="2" t="str">
        <f aca="false">IF(E115&lt;H115,"Reorder Needed","OK")</f>
        <v>OK</v>
      </c>
    </row>
    <row r="116" customFormat="false" ht="15" hidden="false" customHeight="false" outlineLevel="0" collapsed="false">
      <c r="A116" s="2" t="str">
        <f aca="false">Raw_Data!A116</f>
        <v>SKU1061</v>
      </c>
      <c r="B116" s="2" t="str">
        <f aca="false">TRIM(PROPER(Raw_Data!B116))</f>
        <v>Plastic Chair</v>
      </c>
      <c r="C116" s="2" t="str">
        <f aca="false">PROPER(TRIM(Raw_Data!C116))</f>
        <v>Furniture</v>
      </c>
      <c r="D116" s="2" t="str">
        <f aca="false">IF(ISNUMBER(SEARCH("north",Raw_Data!D116)),"WH-North",IF(ISNUMBER(SEARCH("south",Raw_Data!D116)),"WH-South",IF(ISNUMBER(SEARCH("east",Raw_Data!D116)),"WH-East",IF(ISNUMBER(SEARCH("west",Raw_Data!D116)),"WH-West","Unknown"))))</f>
        <v>WH-North</v>
      </c>
      <c r="E116" s="2" t="n">
        <f aca="false">IF(Raw_Data!E116&lt;0,0,Raw_Data!E116)</f>
        <v>103</v>
      </c>
      <c r="F116" s="2" t="str">
        <f aca="false">IF(Raw_Data!E116&lt;0,"Yes","No")</f>
        <v>No</v>
      </c>
      <c r="G116" s="2" t="n">
        <f aca="false">IF(Raw_Data!F116="",ROUND(AVERAGEIFS(Raw_Data!$F$2:$F$176,$C$2:$C$176,C116),2),Raw_Data!F116)</f>
        <v>2984.38</v>
      </c>
      <c r="H116" s="2" t="n">
        <f aca="false">Raw_Data!G116</f>
        <v>40</v>
      </c>
      <c r="I116" s="2" t="str">
        <f aca="false">IF(TRIM(Raw_Data!H116)="","Not Assigned",TRIM(Raw_Data!H116))</f>
        <v>Prime Vendors</v>
      </c>
      <c r="J116" s="3" t="n">
        <f aca="false">DATE(VALUE(MID(SUBSTITUTE(Raw_Data!I116,"/","-"),7,4)),VALUE(MID(SUBSTITUTE(Raw_Data!I116,"/","-"),4,2)),VALUE(LEFT(SUBSTITUTE(Raw_Data!I116,"/","-"),2)))</f>
        <v>45705</v>
      </c>
      <c r="K116" s="2" t="str">
        <f aca="false">IF(COUNTIF(Raw_Data!$A$2:A116,Raw_Data!A116)&gt;1,"Duplicate - Remove","Keep")</f>
        <v>Keep</v>
      </c>
      <c r="L116" s="2" t="str">
        <f aca="false">IF(E116&lt;H116,"Reorder Needed","OK")</f>
        <v>OK</v>
      </c>
    </row>
    <row r="117" customFormat="false" ht="15" hidden="false" customHeight="false" outlineLevel="0" collapsed="false">
      <c r="A117" s="2" t="str">
        <f aca="false">Raw_Data!A117</f>
        <v>SKU1145</v>
      </c>
      <c r="B117" s="2" t="str">
        <f aca="false">TRIM(PROPER(Raw_Data!B117))</f>
        <v>Remote Car</v>
      </c>
      <c r="C117" s="2" t="str">
        <f aca="false">PROPER(TRIM(Raw_Data!C117))</f>
        <v>Toys</v>
      </c>
      <c r="D117" s="2" t="str">
        <f aca="false">IF(ISNUMBER(SEARCH("north",Raw_Data!D117)),"WH-North",IF(ISNUMBER(SEARCH("south",Raw_Data!D117)),"WH-South",IF(ISNUMBER(SEARCH("east",Raw_Data!D117)),"WH-East",IF(ISNUMBER(SEARCH("west",Raw_Data!D117)),"WH-West","Unknown"))))</f>
        <v>WH-North</v>
      </c>
      <c r="E117" s="2" t="n">
        <f aca="false">IF(Raw_Data!E117&lt;0,0,Raw_Data!E117)</f>
        <v>97</v>
      </c>
      <c r="F117" s="2" t="str">
        <f aca="false">IF(Raw_Data!E117&lt;0,"Yes","No")</f>
        <v>No</v>
      </c>
      <c r="G117" s="2" t="n">
        <f aca="false">IF(Raw_Data!F117="",ROUND(AVERAGEIFS(Raw_Data!$F$2:$F$176,$C$2:$C$176,C117),2),Raw_Data!F117)</f>
        <v>1318.79</v>
      </c>
      <c r="H117" s="2" t="n">
        <f aca="false">Raw_Data!G117</f>
        <v>12</v>
      </c>
      <c r="I117" s="2" t="str">
        <f aca="false">IF(TRIM(Raw_Data!H117)="","Not Assigned",TRIM(Raw_Data!H117))</f>
        <v>Metro Distributors</v>
      </c>
      <c r="J117" s="3" t="n">
        <f aca="false">DATE(VALUE(MID(SUBSTITUTE(Raw_Data!I117,"/","-"),7,4)),VALUE(MID(SUBSTITUTE(Raw_Data!I117,"/","-"),4,2)),VALUE(LEFT(SUBSTITUTE(Raw_Data!I117,"/","-"),2)))</f>
        <v>45827</v>
      </c>
      <c r="K117" s="2" t="str">
        <f aca="false">IF(COUNTIF(Raw_Data!$A$2:A117,Raw_Data!A117)&gt;1,"Duplicate - Remove","Keep")</f>
        <v>Keep</v>
      </c>
      <c r="L117" s="2" t="str">
        <f aca="false">IF(E117&lt;H117,"Reorder Needed","OK")</f>
        <v>OK</v>
      </c>
    </row>
    <row r="118" customFormat="false" ht="15" hidden="false" customHeight="false" outlineLevel="0" collapsed="false">
      <c r="A118" s="2" t="str">
        <f aca="false">Raw_Data!A118</f>
        <v>SKU1043</v>
      </c>
      <c r="B118" s="2" t="str">
        <f aca="false">TRIM(PROPER(Raw_Data!B118))</f>
        <v>Electric Kettle 1.5L</v>
      </c>
      <c r="C118" s="2" t="str">
        <f aca="false">PROPER(TRIM(Raw_Data!C118))</f>
        <v>Home Appliances</v>
      </c>
      <c r="D118" s="2" t="str">
        <f aca="false">IF(ISNUMBER(SEARCH("north",Raw_Data!D118)),"WH-North",IF(ISNUMBER(SEARCH("south",Raw_Data!D118)),"WH-South",IF(ISNUMBER(SEARCH("east",Raw_Data!D118)),"WH-East",IF(ISNUMBER(SEARCH("west",Raw_Data!D118)),"WH-West","Unknown"))))</f>
        <v>WH-East</v>
      </c>
      <c r="E118" s="2" t="n">
        <f aca="false">IF(Raw_Data!E118&lt;0,0,Raw_Data!E118)</f>
        <v>290</v>
      </c>
      <c r="F118" s="2" t="str">
        <f aca="false">IF(Raw_Data!E118&lt;0,"Yes","No")</f>
        <v>No</v>
      </c>
      <c r="G118" s="2" t="n">
        <f aca="false">IF(Raw_Data!F118="",ROUND(AVERAGEIFS(Raw_Data!$F$2:$F$176,$C$2:$C$176,C118),2),Raw_Data!F118)</f>
        <v>3400.93</v>
      </c>
      <c r="H118" s="2" t="n">
        <f aca="false">Raw_Data!G118</f>
        <v>24</v>
      </c>
      <c r="I118" s="2" t="str">
        <f aca="false">IF(TRIM(Raw_Data!H118)="","Not Assigned",TRIM(Raw_Data!H118))</f>
        <v>Global Supply Co</v>
      </c>
      <c r="J118" s="3" t="n">
        <f aca="false">DATE(VALUE(MID(SUBSTITUTE(Raw_Data!I118,"/","-"),7,4)),VALUE(MID(SUBSTITUTE(Raw_Data!I118,"/","-"),4,2)),VALUE(LEFT(SUBSTITUTE(Raw_Data!I118,"/","-"),2)))</f>
        <v>45863</v>
      </c>
      <c r="K118" s="2" t="str">
        <f aca="false">IF(COUNTIF(Raw_Data!$A$2:A118,Raw_Data!A118)&gt;1,"Duplicate - Remove","Keep")</f>
        <v>Keep</v>
      </c>
      <c r="L118" s="2" t="str">
        <f aca="false">IF(E118&lt;H118,"Reorder Needed","OK")</f>
        <v>OK</v>
      </c>
    </row>
    <row r="119" customFormat="false" ht="15" hidden="false" customHeight="false" outlineLevel="0" collapsed="false">
      <c r="A119" s="2" t="str">
        <f aca="false">Raw_Data!A119</f>
        <v>SKU1092</v>
      </c>
      <c r="B119" s="2" t="str">
        <f aca="false">TRIM(PROPER(Raw_Data!B119))</f>
        <v>Formal Shoes Men</v>
      </c>
      <c r="C119" s="2" t="str">
        <f aca="false">PROPER(TRIM(Raw_Data!C119))</f>
        <v>Footwear</v>
      </c>
      <c r="D119" s="2" t="str">
        <f aca="false">IF(ISNUMBER(SEARCH("north",Raw_Data!D119)),"WH-North",IF(ISNUMBER(SEARCH("south",Raw_Data!D119)),"WH-South",IF(ISNUMBER(SEARCH("east",Raw_Data!D119)),"WH-East",IF(ISNUMBER(SEARCH("west",Raw_Data!D119)),"WH-West","Unknown"))))</f>
        <v>WH-West</v>
      </c>
      <c r="E119" s="2" t="n">
        <f aca="false">IF(Raw_Data!E119&lt;0,0,Raw_Data!E119)</f>
        <v>136</v>
      </c>
      <c r="F119" s="2" t="str">
        <f aca="false">IF(Raw_Data!E119&lt;0,"Yes","No")</f>
        <v>No</v>
      </c>
      <c r="G119" s="2" t="n">
        <f aca="false">IF(Raw_Data!F119="",ROUND(AVERAGEIFS(Raw_Data!$F$2:$F$176,$C$2:$C$176,C119),2),Raw_Data!F119)</f>
        <v>3779.54</v>
      </c>
      <c r="H119" s="2" t="n">
        <f aca="false">Raw_Data!G119</f>
        <v>40</v>
      </c>
      <c r="I119" s="2" t="str">
        <f aca="false">IF(TRIM(Raw_Data!H119)="","Not Assigned",TRIM(Raw_Data!H119))</f>
        <v>Metro Distributors</v>
      </c>
      <c r="J119" s="3" t="n">
        <f aca="false">DATE(VALUE(MID(SUBSTITUTE(Raw_Data!I119,"/","-"),7,4)),VALUE(MID(SUBSTITUTE(Raw_Data!I119,"/","-"),4,2)),VALUE(LEFT(SUBSTITUTE(Raw_Data!I119,"/","-"),2)))</f>
        <v>45849</v>
      </c>
      <c r="K119" s="2" t="str">
        <f aca="false">IF(COUNTIF(Raw_Data!$A$2:A119,Raw_Data!A119)&gt;1,"Duplicate - Remove","Keep")</f>
        <v>Keep</v>
      </c>
      <c r="L119" s="2" t="str">
        <f aca="false">IF(E119&lt;H119,"Reorder Needed","OK")</f>
        <v>OK</v>
      </c>
    </row>
    <row r="120" customFormat="false" ht="15" hidden="false" customHeight="false" outlineLevel="0" collapsed="false">
      <c r="A120" s="2" t="str">
        <f aca="false">Raw_Data!A120</f>
        <v>SKU1018</v>
      </c>
      <c r="B120" s="2" t="str">
        <f aca="false">TRIM(PROPER(Raw_Data!B120))</f>
        <v>Wall Charger 20W</v>
      </c>
      <c r="C120" s="2" t="str">
        <f aca="false">PROPER(TRIM(Raw_Data!C120))</f>
        <v>Electronics</v>
      </c>
      <c r="D120" s="2" t="str">
        <f aca="false">IF(ISNUMBER(SEARCH("north",Raw_Data!D120)),"WH-North",IF(ISNUMBER(SEARCH("south",Raw_Data!D120)),"WH-South",IF(ISNUMBER(SEARCH("east",Raw_Data!D120)),"WH-East",IF(ISNUMBER(SEARCH("west",Raw_Data!D120)),"WH-West","Unknown"))))</f>
        <v>WH-South</v>
      </c>
      <c r="E120" s="2" t="n">
        <f aca="false">IF(Raw_Data!E120&lt;0,0,Raw_Data!E120)</f>
        <v>32</v>
      </c>
      <c r="F120" s="2" t="str">
        <f aca="false">IF(Raw_Data!E120&lt;0,"Yes","No")</f>
        <v>No</v>
      </c>
      <c r="G120" s="2" t="n">
        <f aca="false">IF(Raw_Data!F120="",ROUND(AVERAGEIFS(Raw_Data!$F$2:$F$176,$C$2:$C$176,C120),2),Raw_Data!F120)</f>
        <v>3937.45</v>
      </c>
      <c r="H120" s="2" t="n">
        <f aca="false">Raw_Data!G120</f>
        <v>13</v>
      </c>
      <c r="I120" s="2" t="str">
        <f aca="false">IF(TRIM(Raw_Data!H120)="","Not Assigned",TRIM(Raw_Data!H120))</f>
        <v>Sharma Traders</v>
      </c>
      <c r="J120" s="3" t="n">
        <f aca="false">DATE(VALUE(MID(SUBSTITUTE(Raw_Data!I120,"/","-"),7,4)),VALUE(MID(SUBSTITUTE(Raw_Data!I120,"/","-"),4,2)),VALUE(LEFT(SUBSTITUTE(Raw_Data!I120,"/","-"),2)))</f>
        <v>45761</v>
      </c>
      <c r="K120" s="2" t="str">
        <f aca="false">IF(COUNTIF(Raw_Data!$A$2:A120,Raw_Data!A120)&gt;1,"Duplicate - Remove","Keep")</f>
        <v>Keep</v>
      </c>
      <c r="L120" s="2" t="str">
        <f aca="false">IF(E120&lt;H120,"Reorder Needed","OK")</f>
        <v>OK</v>
      </c>
    </row>
    <row r="121" customFormat="false" ht="15" hidden="false" customHeight="false" outlineLevel="0" collapsed="false">
      <c r="A121" s="2" t="str">
        <f aca="false">Raw_Data!A121</f>
        <v>SKU1005</v>
      </c>
      <c r="B121" s="2" t="str">
        <f aca="false">TRIM(PROPER(Raw_Data!B121))</f>
        <v>Usb Cable Type-C</v>
      </c>
      <c r="C121" s="2" t="str">
        <f aca="false">PROPER(TRIM(Raw_Data!C121))</f>
        <v>Electronics</v>
      </c>
      <c r="D121" s="2" t="str">
        <f aca="false">IF(ISNUMBER(SEARCH("north",Raw_Data!D121)),"WH-North",IF(ISNUMBER(SEARCH("south",Raw_Data!D121)),"WH-South",IF(ISNUMBER(SEARCH("east",Raw_Data!D121)),"WH-East",IF(ISNUMBER(SEARCH("west",Raw_Data!D121)),"WH-West","Unknown"))))</f>
        <v>WH-North</v>
      </c>
      <c r="E121" s="2" t="n">
        <f aca="false">IF(Raw_Data!E121&lt;0,0,Raw_Data!E121)</f>
        <v>121</v>
      </c>
      <c r="F121" s="2" t="str">
        <f aca="false">IF(Raw_Data!E121&lt;0,"Yes","No")</f>
        <v>No</v>
      </c>
      <c r="G121" s="2" t="n">
        <f aca="false">IF(Raw_Data!F121="",ROUND(AVERAGEIFS(Raw_Data!$F$2:$F$176,$C$2:$C$176,C121),2),Raw_Data!F121)</f>
        <v>3941.63</v>
      </c>
      <c r="H121" s="2" t="n">
        <f aca="false">Raw_Data!G121</f>
        <v>37</v>
      </c>
      <c r="I121" s="2" t="str">
        <f aca="false">IF(TRIM(Raw_Data!H121)="","Not Assigned",TRIM(Raw_Data!H121))</f>
        <v>Global Supply Co</v>
      </c>
      <c r="J121" s="3" t="n">
        <f aca="false">DATE(VALUE(MID(SUBSTITUTE(Raw_Data!I121,"/","-"),7,4)),VALUE(MID(SUBSTITUTE(Raw_Data!I121,"/","-"),4,2)),VALUE(LEFT(SUBSTITUTE(Raw_Data!I121,"/","-"),2)))</f>
        <v>45879</v>
      </c>
      <c r="K121" s="2" t="str">
        <f aca="false">IF(COUNTIF(Raw_Data!$A$2:A121,Raw_Data!A121)&gt;1,"Duplicate - Remove","Keep")</f>
        <v>Keep</v>
      </c>
      <c r="L121" s="2" t="str">
        <f aca="false">IF(E121&lt;H121,"Reorder Needed","OK")</f>
        <v>OK</v>
      </c>
    </row>
    <row r="122" customFormat="false" ht="15" hidden="false" customHeight="false" outlineLevel="0" collapsed="false">
      <c r="A122" s="2" t="str">
        <f aca="false">Raw_Data!A122</f>
        <v>SKU1122</v>
      </c>
      <c r="B122" s="2" t="str">
        <f aca="false">TRIM(PROPER(Raw_Data!B122))</f>
        <v>Non-Stick Pan</v>
      </c>
      <c r="C122" s="2" t="str">
        <f aca="false">PROPER(TRIM(Raw_Data!C122))</f>
        <v>Kitchenware</v>
      </c>
      <c r="D122" s="2" t="str">
        <f aca="false">IF(ISNUMBER(SEARCH("north",Raw_Data!D122)),"WH-North",IF(ISNUMBER(SEARCH("south",Raw_Data!D122)),"WH-South",IF(ISNUMBER(SEARCH("east",Raw_Data!D122)),"WH-East",IF(ISNUMBER(SEARCH("west",Raw_Data!D122)),"WH-West","Unknown"))))</f>
        <v>WH-South</v>
      </c>
      <c r="E122" s="2" t="n">
        <f aca="false">IF(Raw_Data!E122&lt;0,0,Raw_Data!E122)</f>
        <v>160</v>
      </c>
      <c r="F122" s="2" t="str">
        <f aca="false">IF(Raw_Data!E122&lt;0,"Yes","No")</f>
        <v>No</v>
      </c>
      <c r="G122" s="2" t="n">
        <f aca="false">IF(Raw_Data!F122="",ROUND(AVERAGEIFS(Raw_Data!$F$2:$F$176,$C$2:$C$176,C122),2),Raw_Data!F122)</f>
        <v>2386.11</v>
      </c>
      <c r="H122" s="2" t="n">
        <f aca="false">Raw_Data!G122</f>
        <v>21</v>
      </c>
      <c r="I122" s="2" t="str">
        <f aca="false">IF(TRIM(Raw_Data!H122)="","Not Assigned",TRIM(Raw_Data!H122))</f>
        <v>Nova Wholesale</v>
      </c>
      <c r="J122" s="3" t="n">
        <f aca="false">DATE(VALUE(MID(SUBSTITUTE(Raw_Data!I122,"/","-"),7,4)),VALUE(MID(SUBSTITUTE(Raw_Data!I122,"/","-"),4,2)),VALUE(LEFT(SUBSTITUTE(Raw_Data!I122,"/","-"),2)))</f>
        <v>45676</v>
      </c>
      <c r="K122" s="2" t="str">
        <f aca="false">IF(COUNTIF(Raw_Data!$A$2:A122,Raw_Data!A122)&gt;1,"Duplicate - Remove","Keep")</f>
        <v>Keep</v>
      </c>
      <c r="L122" s="2" t="str">
        <f aca="false">IF(E122&lt;H122,"Reorder Needed","OK")</f>
        <v>OK</v>
      </c>
    </row>
    <row r="123" customFormat="false" ht="15" hidden="false" customHeight="false" outlineLevel="0" collapsed="false">
      <c r="A123" s="2" t="str">
        <f aca="false">Raw_Data!A123</f>
        <v>SKU1148</v>
      </c>
      <c r="B123" s="2" t="str">
        <f aca="false">TRIM(PROPER(Raw_Data!B123))</f>
        <v>Remote Car</v>
      </c>
      <c r="C123" s="2" t="str">
        <f aca="false">PROPER(TRIM(Raw_Data!C123))</f>
        <v>Toys</v>
      </c>
      <c r="D123" s="2" t="str">
        <f aca="false">IF(ISNUMBER(SEARCH("north",Raw_Data!D123)),"WH-North",IF(ISNUMBER(SEARCH("south",Raw_Data!D123)),"WH-South",IF(ISNUMBER(SEARCH("east",Raw_Data!D123)),"WH-East",IF(ISNUMBER(SEARCH("west",Raw_Data!D123)),"WH-West","Unknown"))))</f>
        <v>WH-West</v>
      </c>
      <c r="E123" s="2" t="n">
        <f aca="false">IF(Raw_Data!E123&lt;0,0,Raw_Data!E123)</f>
        <v>201</v>
      </c>
      <c r="F123" s="2" t="str">
        <f aca="false">IF(Raw_Data!E123&lt;0,"Yes","No")</f>
        <v>No</v>
      </c>
      <c r="G123" s="2" t="n">
        <f aca="false">IF(Raw_Data!F123="",ROUND(AVERAGEIFS(Raw_Data!$F$2:$F$176,$C$2:$C$176,C123),2),Raw_Data!F123)</f>
        <v>177.92</v>
      </c>
      <c r="H123" s="2" t="n">
        <f aca="false">Raw_Data!G123</f>
        <v>14</v>
      </c>
      <c r="I123" s="2" t="str">
        <f aca="false">IF(TRIM(Raw_Data!H123)="","Not Assigned",TRIM(Raw_Data!H123))</f>
        <v>Prime Vendors</v>
      </c>
      <c r="J123" s="3" t="n">
        <f aca="false">DATE(VALUE(MID(SUBSTITUTE(Raw_Data!I123,"/","-"),7,4)),VALUE(MID(SUBSTITUTE(Raw_Data!I123,"/","-"),4,2)),VALUE(LEFT(SUBSTITUTE(Raw_Data!I123,"/","-"),2)))</f>
        <v>45773</v>
      </c>
      <c r="K123" s="2" t="str">
        <f aca="false">IF(COUNTIF(Raw_Data!$A$2:A123,Raw_Data!A123)&gt;1,"Duplicate - Remove","Keep")</f>
        <v>Duplicate - Remove</v>
      </c>
      <c r="L123" s="2" t="str">
        <f aca="false">IF(E123&lt;H123,"Reorder Needed","OK")</f>
        <v>OK</v>
      </c>
    </row>
    <row r="124" customFormat="false" ht="15" hidden="false" customHeight="false" outlineLevel="0" collapsed="false">
      <c r="A124" s="2" t="str">
        <f aca="false">Raw_Data!A124</f>
        <v>SKU1065</v>
      </c>
      <c r="B124" s="2" t="str">
        <f aca="false">TRIM(PROPER(Raw_Data!B124))</f>
        <v>Folding Table</v>
      </c>
      <c r="C124" s="2" t="str">
        <f aca="false">PROPER(TRIM(Raw_Data!C124))</f>
        <v>Furniture</v>
      </c>
      <c r="D124" s="2" t="str">
        <f aca="false">IF(ISNUMBER(SEARCH("north",Raw_Data!D124)),"WH-North",IF(ISNUMBER(SEARCH("south",Raw_Data!D124)),"WH-South",IF(ISNUMBER(SEARCH("east",Raw_Data!D124)),"WH-East",IF(ISNUMBER(SEARCH("west",Raw_Data!D124)),"WH-West","Unknown"))))</f>
        <v>WH-North</v>
      </c>
      <c r="E124" s="2" t="n">
        <f aca="false">IF(Raw_Data!E124&lt;0,0,Raw_Data!E124)</f>
        <v>81</v>
      </c>
      <c r="F124" s="2" t="str">
        <f aca="false">IF(Raw_Data!E124&lt;0,"Yes","No")</f>
        <v>No</v>
      </c>
      <c r="G124" s="2" t="n">
        <f aca="false">IF(Raw_Data!F124="",ROUND(AVERAGEIFS(Raw_Data!$F$2:$F$176,$C$2:$C$176,C124),2),Raw_Data!F124)</f>
        <v>3799.05</v>
      </c>
      <c r="H124" s="2" t="n">
        <f aca="false">Raw_Data!G124</f>
        <v>12</v>
      </c>
      <c r="I124" s="2" t="str">
        <f aca="false">IF(TRIM(Raw_Data!H124)="","Not Assigned",TRIM(Raw_Data!H124))</f>
        <v>Global Supply Co</v>
      </c>
      <c r="J124" s="3" t="n">
        <f aca="false">DATE(VALUE(MID(SUBSTITUTE(Raw_Data!I124,"/","-"),7,4)),VALUE(MID(SUBSTITUTE(Raw_Data!I124,"/","-"),4,2)),VALUE(LEFT(SUBSTITUTE(Raw_Data!I124,"/","-"),2)))</f>
        <v>45688</v>
      </c>
      <c r="K124" s="2" t="str">
        <f aca="false">IF(COUNTIF(Raw_Data!$A$2:A124,Raw_Data!A124)&gt;1,"Duplicate - Remove","Keep")</f>
        <v>Keep</v>
      </c>
      <c r="L124" s="2" t="str">
        <f aca="false">IF(E124&lt;H124,"Reorder Needed","OK")</f>
        <v>OK</v>
      </c>
    </row>
    <row r="125" customFormat="false" ht="15" hidden="false" customHeight="false" outlineLevel="0" collapsed="false">
      <c r="A125" s="2" t="str">
        <f aca="false">Raw_Data!A125</f>
        <v>SKU1052</v>
      </c>
      <c r="B125" s="2" t="str">
        <f aca="false">TRIM(PROPER(Raw_Data!B125))</f>
        <v>Mixer Grinder 500W</v>
      </c>
      <c r="C125" s="2" t="str">
        <f aca="false">PROPER(TRIM(Raw_Data!C125))</f>
        <v>Home Appliances</v>
      </c>
      <c r="D125" s="2" t="str">
        <f aca="false">IF(ISNUMBER(SEARCH("north",Raw_Data!D125)),"WH-North",IF(ISNUMBER(SEARCH("south",Raw_Data!D125)),"WH-South",IF(ISNUMBER(SEARCH("east",Raw_Data!D125)),"WH-East",IF(ISNUMBER(SEARCH("west",Raw_Data!D125)),"WH-West","Unknown"))))</f>
        <v>WH-West</v>
      </c>
      <c r="E125" s="2" t="n">
        <f aca="false">IF(Raw_Data!E125&lt;0,0,Raw_Data!E125)</f>
        <v>83</v>
      </c>
      <c r="F125" s="2" t="str">
        <f aca="false">IF(Raw_Data!E125&lt;0,"Yes","No")</f>
        <v>No</v>
      </c>
      <c r="G125" s="2" t="n">
        <f aca="false">IF(Raw_Data!F125="",ROUND(AVERAGEIFS(Raw_Data!$F$2:$F$176,$C$2:$C$176,C125),2),Raw_Data!F125)</f>
        <v>1920.57</v>
      </c>
      <c r="H125" s="2" t="n">
        <f aca="false">Raw_Data!G125</f>
        <v>13</v>
      </c>
      <c r="I125" s="2" t="str">
        <f aca="false">IF(TRIM(Raw_Data!H125)="","Not Assigned",TRIM(Raw_Data!H125))</f>
        <v>Nova Wholesale</v>
      </c>
      <c r="J125" s="3" t="n">
        <f aca="false">DATE(VALUE(MID(SUBSTITUTE(Raw_Data!I125,"/","-"),7,4)),VALUE(MID(SUBSTITUTE(Raw_Data!I125,"/","-"),4,2)),VALUE(LEFT(SUBSTITUTE(Raw_Data!I125,"/","-"),2)))</f>
        <v>45900</v>
      </c>
      <c r="K125" s="2" t="str">
        <f aca="false">IF(COUNTIF(Raw_Data!$A$2:A125,Raw_Data!A125)&gt;1,"Duplicate - Remove","Keep")</f>
        <v>Keep</v>
      </c>
      <c r="L125" s="2" t="str">
        <f aca="false">IF(E125&lt;H125,"Reorder Needed","OK")</f>
        <v>OK</v>
      </c>
    </row>
    <row r="126" customFormat="false" ht="15" hidden="false" customHeight="false" outlineLevel="0" collapsed="false">
      <c r="A126" s="2" t="str">
        <f aca="false">Raw_Data!A126</f>
        <v>SKU1066</v>
      </c>
      <c r="B126" s="2" t="str">
        <f aca="false">TRIM(PROPER(Raw_Data!B126))</f>
        <v>Folding Table</v>
      </c>
      <c r="C126" s="2" t="str">
        <f aca="false">PROPER(TRIM(Raw_Data!C126))</f>
        <v>Furniture</v>
      </c>
      <c r="D126" s="2" t="str">
        <f aca="false">IF(ISNUMBER(SEARCH("north",Raw_Data!D126)),"WH-North",IF(ISNUMBER(SEARCH("south",Raw_Data!D126)),"WH-South",IF(ISNUMBER(SEARCH("east",Raw_Data!D126)),"WH-East",IF(ISNUMBER(SEARCH("west",Raw_Data!D126)),"WH-West","Unknown"))))</f>
        <v>WH-South</v>
      </c>
      <c r="E126" s="2" t="n">
        <f aca="false">IF(Raw_Data!E126&lt;0,0,Raw_Data!E126)</f>
        <v>157</v>
      </c>
      <c r="F126" s="2" t="str">
        <f aca="false">IF(Raw_Data!E126&lt;0,"Yes","No")</f>
        <v>No</v>
      </c>
      <c r="G126" s="2" t="n">
        <f aca="false">IF(Raw_Data!F126="",ROUND(AVERAGEIFS(Raw_Data!$F$2:$F$176,$C$2:$C$176,C126),2),Raw_Data!F126)</f>
        <v>3960.62</v>
      </c>
      <c r="H126" s="2" t="n">
        <f aca="false">Raw_Data!G126</f>
        <v>19</v>
      </c>
      <c r="I126" s="2" t="str">
        <f aca="false">IF(TRIM(Raw_Data!H126)="","Not Assigned",TRIM(Raw_Data!H126))</f>
        <v>Nova Wholesale</v>
      </c>
      <c r="J126" s="3" t="n">
        <f aca="false">DATE(VALUE(MID(SUBSTITUTE(Raw_Data!I126,"/","-"),7,4)),VALUE(MID(SUBSTITUTE(Raw_Data!I126,"/","-"),4,2)),VALUE(LEFT(SUBSTITUTE(Raw_Data!I126,"/","-"),2)))</f>
        <v>45816</v>
      </c>
      <c r="K126" s="2" t="str">
        <f aca="false">IF(COUNTIF(Raw_Data!$A$2:A126,Raw_Data!A126)&gt;1,"Duplicate - Remove","Keep")</f>
        <v>Keep</v>
      </c>
      <c r="L126" s="2" t="str">
        <f aca="false">IF(E126&lt;H126,"Reorder Needed","OK")</f>
        <v>OK</v>
      </c>
    </row>
    <row r="127" customFormat="false" ht="15" hidden="false" customHeight="false" outlineLevel="0" collapsed="false">
      <c r="A127" s="2" t="str">
        <f aca="false">Raw_Data!A127</f>
        <v>SKU1078</v>
      </c>
      <c r="B127" s="2" t="str">
        <f aca="false">TRIM(PROPER(Raw_Data!B127))</f>
        <v>Storage Rack</v>
      </c>
      <c r="C127" s="2" t="str">
        <f aca="false">PROPER(TRIM(Raw_Data!C127))</f>
        <v>Furniture</v>
      </c>
      <c r="D127" s="2" t="str">
        <f aca="false">IF(ISNUMBER(SEARCH("north",Raw_Data!D127)),"WH-North",IF(ISNUMBER(SEARCH("south",Raw_Data!D127)),"WH-South",IF(ISNUMBER(SEARCH("east",Raw_Data!D127)),"WH-East",IF(ISNUMBER(SEARCH("west",Raw_Data!D127)),"WH-West","Unknown"))))</f>
        <v>WH-South</v>
      </c>
      <c r="E127" s="2" t="n">
        <f aca="false">IF(Raw_Data!E127&lt;0,0,Raw_Data!E127)</f>
        <v>265</v>
      </c>
      <c r="F127" s="2" t="str">
        <f aca="false">IF(Raw_Data!E127&lt;0,"Yes","No")</f>
        <v>No</v>
      </c>
      <c r="G127" s="2" t="n">
        <f aca="false">IF(Raw_Data!F127="",ROUND(AVERAGEIFS(Raw_Data!$F$2:$F$176,$C$2:$C$176,C127),2),Raw_Data!F127)</f>
        <v>589.21</v>
      </c>
      <c r="H127" s="2" t="n">
        <f aca="false">Raw_Data!G127</f>
        <v>12</v>
      </c>
      <c r="I127" s="2" t="str">
        <f aca="false">IF(TRIM(Raw_Data!H127)="","Not Assigned",TRIM(Raw_Data!H127))</f>
        <v>Metro Distributors</v>
      </c>
      <c r="J127" s="3" t="n">
        <f aca="false">DATE(VALUE(MID(SUBSTITUTE(Raw_Data!I127,"/","-"),7,4)),VALUE(MID(SUBSTITUTE(Raw_Data!I127,"/","-"),4,2)),VALUE(LEFT(SUBSTITUTE(Raw_Data!I127,"/","-"),2)))</f>
        <v>45855</v>
      </c>
      <c r="K127" s="2" t="str">
        <f aca="false">IF(COUNTIF(Raw_Data!$A$2:A127,Raw_Data!A127)&gt;1,"Duplicate - Remove","Keep")</f>
        <v>Keep</v>
      </c>
      <c r="L127" s="2" t="str">
        <f aca="false">IF(E127&lt;H127,"Reorder Needed","OK")</f>
        <v>OK</v>
      </c>
    </row>
    <row r="128" customFormat="false" ht="15" hidden="false" customHeight="false" outlineLevel="0" collapsed="false">
      <c r="A128" s="2" t="str">
        <f aca="false">Raw_Data!A128</f>
        <v>SKU1026</v>
      </c>
      <c r="B128" s="2" t="str">
        <f aca="false">TRIM(PROPER(Raw_Data!B128))</f>
        <v>A4 Notebook 200Pg</v>
      </c>
      <c r="C128" s="2" t="str">
        <f aca="false">PROPER(TRIM(Raw_Data!C128))</f>
        <v>Stationery</v>
      </c>
      <c r="D128" s="2" t="str">
        <f aca="false">IF(ISNUMBER(SEARCH("north",Raw_Data!D128)),"WH-North",IF(ISNUMBER(SEARCH("south",Raw_Data!D128)),"WH-South",IF(ISNUMBER(SEARCH("east",Raw_Data!D128)),"WH-East",IF(ISNUMBER(SEARCH("west",Raw_Data!D128)),"WH-West","Unknown"))))</f>
        <v>WH-South</v>
      </c>
      <c r="E128" s="2" t="n">
        <f aca="false">IF(Raw_Data!E128&lt;0,0,Raw_Data!E128)</f>
        <v>194</v>
      </c>
      <c r="F128" s="2" t="str">
        <f aca="false">IF(Raw_Data!E128&lt;0,"Yes","No")</f>
        <v>No</v>
      </c>
      <c r="G128" s="2" t="n">
        <f aca="false">IF(Raw_Data!F128="",ROUND(AVERAGEIFS(Raw_Data!$F$2:$F$176,$C$2:$C$176,C128),2),Raw_Data!F128)</f>
        <v>1780.83</v>
      </c>
      <c r="H128" s="2" t="n">
        <f aca="false">Raw_Data!G128</f>
        <v>27</v>
      </c>
      <c r="I128" s="2" t="str">
        <f aca="false">IF(TRIM(Raw_Data!H128)="","Not Assigned",TRIM(Raw_Data!H128))</f>
        <v>Prime Vendors</v>
      </c>
      <c r="J128" s="3" t="n">
        <f aca="false">DATE(VALUE(MID(SUBSTITUTE(Raw_Data!I128,"/","-"),7,4)),VALUE(MID(SUBSTITUTE(Raw_Data!I128,"/","-"),4,2)),VALUE(LEFT(SUBSTITUTE(Raw_Data!I128,"/","-"),2)))</f>
        <v>45735</v>
      </c>
      <c r="K128" s="2" t="str">
        <f aca="false">IF(COUNTIF(Raw_Data!$A$2:A128,Raw_Data!A128)&gt;1,"Duplicate - Remove","Keep")</f>
        <v>Keep</v>
      </c>
      <c r="L128" s="2" t="str">
        <f aca="false">IF(E128&lt;H128,"Reorder Needed","OK")</f>
        <v>OK</v>
      </c>
    </row>
    <row r="129" customFormat="false" ht="15" hidden="false" customHeight="false" outlineLevel="0" collapsed="false">
      <c r="A129" s="2" t="str">
        <f aca="false">Raw_Data!A129</f>
        <v>SKU1037</v>
      </c>
      <c r="B129" s="2" t="str">
        <f aca="false">TRIM(PROPER(Raw_Data!B129))</f>
        <v>Stapler Small</v>
      </c>
      <c r="C129" s="2" t="str">
        <f aca="false">PROPER(TRIM(Raw_Data!C129))</f>
        <v>Stationery</v>
      </c>
      <c r="D129" s="2" t="str">
        <f aca="false">IF(ISNUMBER(SEARCH("north",Raw_Data!D129)),"WH-North",IF(ISNUMBER(SEARCH("south",Raw_Data!D129)),"WH-South",IF(ISNUMBER(SEARCH("east",Raw_Data!D129)),"WH-East",IF(ISNUMBER(SEARCH("west",Raw_Data!D129)),"WH-West","Unknown"))))</f>
        <v>WH-North</v>
      </c>
      <c r="E129" s="2" t="n">
        <f aca="false">IF(Raw_Data!E129&lt;0,0,Raw_Data!E129)</f>
        <v>165</v>
      </c>
      <c r="F129" s="2" t="str">
        <f aca="false">IF(Raw_Data!E129&lt;0,"Yes","No")</f>
        <v>No</v>
      </c>
      <c r="G129" s="2" t="n">
        <f aca="false">IF(Raw_Data!F129="",ROUND(AVERAGEIFS(Raw_Data!$F$2:$F$176,$C$2:$C$176,C129),2),Raw_Data!F129)</f>
        <v>542.27</v>
      </c>
      <c r="H129" s="2" t="n">
        <f aca="false">Raw_Data!G129</f>
        <v>38</v>
      </c>
      <c r="I129" s="2" t="str">
        <f aca="false">IF(TRIM(Raw_Data!H129)="","Not Assigned",TRIM(Raw_Data!H129))</f>
        <v>Metro Distributors</v>
      </c>
      <c r="J129" s="3" t="n">
        <f aca="false">DATE(VALUE(MID(SUBSTITUTE(Raw_Data!I129,"/","-"),7,4)),VALUE(MID(SUBSTITUTE(Raw_Data!I129,"/","-"),4,2)),VALUE(LEFT(SUBSTITUTE(Raw_Data!I129,"/","-"),2)))</f>
        <v>45787</v>
      </c>
      <c r="K129" s="2" t="str">
        <f aca="false">IF(COUNTIF(Raw_Data!$A$2:A129,Raw_Data!A129)&gt;1,"Duplicate - Remove","Keep")</f>
        <v>Duplicate - Remove</v>
      </c>
      <c r="L129" s="2" t="str">
        <f aca="false">IF(E129&lt;H129,"Reorder Needed","OK")</f>
        <v>OK</v>
      </c>
    </row>
    <row r="130" customFormat="false" ht="15" hidden="false" customHeight="false" outlineLevel="0" collapsed="false">
      <c r="A130" s="2" t="str">
        <f aca="false">Raw_Data!A130</f>
        <v>SKU1147</v>
      </c>
      <c r="B130" s="2" t="str">
        <f aca="false">TRIM(PROPER(Raw_Data!B130))</f>
        <v>Remote Car</v>
      </c>
      <c r="C130" s="2" t="str">
        <f aca="false">PROPER(TRIM(Raw_Data!C130))</f>
        <v>Toys</v>
      </c>
      <c r="D130" s="2" t="str">
        <f aca="false">IF(ISNUMBER(SEARCH("north",Raw_Data!D130)),"WH-North",IF(ISNUMBER(SEARCH("south",Raw_Data!D130)),"WH-South",IF(ISNUMBER(SEARCH("east",Raw_Data!D130)),"WH-East",IF(ISNUMBER(SEARCH("west",Raw_Data!D130)),"WH-West","Unknown"))))</f>
        <v>WH-East</v>
      </c>
      <c r="E130" s="2" t="n">
        <f aca="false">IF(Raw_Data!E130&lt;0,0,Raw_Data!E130)</f>
        <v>86</v>
      </c>
      <c r="F130" s="2" t="str">
        <f aca="false">IF(Raw_Data!E130&lt;0,"Yes","No")</f>
        <v>No</v>
      </c>
      <c r="G130" s="2" t="n">
        <f aca="false">IF(Raw_Data!F130="",ROUND(AVERAGEIFS(Raw_Data!$F$2:$F$176,$C$2:$C$176,C130),2),Raw_Data!F130)</f>
        <v>613.98</v>
      </c>
      <c r="H130" s="2" t="n">
        <f aca="false">Raw_Data!G130</f>
        <v>29</v>
      </c>
      <c r="I130" s="2" t="str">
        <f aca="false">IF(TRIM(Raw_Data!H130)="","Not Assigned",TRIM(Raw_Data!H130))</f>
        <v>Prime Vendors</v>
      </c>
      <c r="J130" s="3" t="n">
        <f aca="false">DATE(VALUE(MID(SUBSTITUTE(Raw_Data!I130,"/","-"),7,4)),VALUE(MID(SUBSTITUTE(Raw_Data!I130,"/","-"),4,2)),VALUE(LEFT(SUBSTITUTE(Raw_Data!I130,"/","-"),2)))</f>
        <v>45858</v>
      </c>
      <c r="K130" s="2" t="str">
        <f aca="false">IF(COUNTIF(Raw_Data!$A$2:A130,Raw_Data!A130)&gt;1,"Duplicate - Remove","Keep")</f>
        <v>Keep</v>
      </c>
      <c r="L130" s="2" t="str">
        <f aca="false">IF(E130&lt;H130,"Reorder Needed","OK")</f>
        <v>OK</v>
      </c>
    </row>
    <row r="131" customFormat="false" ht="15" hidden="false" customHeight="false" outlineLevel="0" collapsed="false">
      <c r="A131" s="2" t="str">
        <f aca="false">Raw_Data!A131</f>
        <v>SKU1087</v>
      </c>
      <c r="B131" s="2" t="str">
        <f aca="false">TRIM(PROPER(Raw_Data!B131))</f>
        <v>Sandals Women</v>
      </c>
      <c r="C131" s="2" t="str">
        <f aca="false">PROPER(TRIM(Raw_Data!C131))</f>
        <v>Footwear</v>
      </c>
      <c r="D131" s="2" t="str">
        <f aca="false">IF(ISNUMBER(SEARCH("north",Raw_Data!D131)),"WH-North",IF(ISNUMBER(SEARCH("south",Raw_Data!D131)),"WH-South",IF(ISNUMBER(SEARCH("east",Raw_Data!D131)),"WH-East",IF(ISNUMBER(SEARCH("west",Raw_Data!D131)),"WH-West","Unknown"))))</f>
        <v>WH-East</v>
      </c>
      <c r="E131" s="2" t="n">
        <f aca="false">IF(Raw_Data!E131&lt;0,0,Raw_Data!E131)</f>
        <v>152</v>
      </c>
      <c r="F131" s="2" t="str">
        <f aca="false">IF(Raw_Data!E131&lt;0,"Yes","No")</f>
        <v>No</v>
      </c>
      <c r="G131" s="2" t="n">
        <f aca="false">IF(Raw_Data!F131="",ROUND(AVERAGEIFS(Raw_Data!$F$2:$F$176,$C$2:$C$176,C131),2),Raw_Data!F131)</f>
        <v>674</v>
      </c>
      <c r="H131" s="2" t="n">
        <f aca="false">Raw_Data!G131</f>
        <v>24</v>
      </c>
      <c r="I131" s="2" t="str">
        <f aca="false">IF(TRIM(Raw_Data!H131)="","Not Assigned",TRIM(Raw_Data!H131))</f>
        <v>Metro Distributors</v>
      </c>
      <c r="J131" s="3" t="n">
        <f aca="false">DATE(VALUE(MID(SUBSTITUTE(Raw_Data!I131,"/","-"),7,4)),VALUE(MID(SUBSTITUTE(Raw_Data!I131,"/","-"),4,2)),VALUE(LEFT(SUBSTITUTE(Raw_Data!I131,"/","-"),2)))</f>
        <v>45808</v>
      </c>
      <c r="K131" s="2" t="str">
        <f aca="false">IF(COUNTIF(Raw_Data!$A$2:A131,Raw_Data!A131)&gt;1,"Duplicate - Remove","Keep")</f>
        <v>Keep</v>
      </c>
      <c r="L131" s="2" t="str">
        <f aca="false">IF(E131&lt;H131,"Reorder Needed","OK")</f>
        <v>OK</v>
      </c>
    </row>
    <row r="132" customFormat="false" ht="15" hidden="false" customHeight="false" outlineLevel="0" collapsed="false">
      <c r="A132" s="2" t="str">
        <f aca="false">Raw_Data!A132</f>
        <v>SKU1096</v>
      </c>
      <c r="B132" s="2" t="str">
        <f aca="false">TRIM(PROPER(Raw_Data!B132))</f>
        <v>Sports Sandals</v>
      </c>
      <c r="C132" s="2" t="str">
        <f aca="false">PROPER(TRIM(Raw_Data!C132))</f>
        <v>Footwear</v>
      </c>
      <c r="D132" s="2" t="str">
        <f aca="false">IF(ISNUMBER(SEARCH("north",Raw_Data!D132)),"WH-North",IF(ISNUMBER(SEARCH("south",Raw_Data!D132)),"WH-South",IF(ISNUMBER(SEARCH("east",Raw_Data!D132)),"WH-East",IF(ISNUMBER(SEARCH("west",Raw_Data!D132)),"WH-West","Unknown"))))</f>
        <v>WH-West</v>
      </c>
      <c r="E132" s="2" t="n">
        <f aca="false">IF(Raw_Data!E132&lt;0,0,Raw_Data!E132)</f>
        <v>257</v>
      </c>
      <c r="F132" s="2" t="str">
        <f aca="false">IF(Raw_Data!E132&lt;0,"Yes","No")</f>
        <v>No</v>
      </c>
      <c r="G132" s="2" t="n">
        <f aca="false">IF(Raw_Data!F132="",ROUND(AVERAGEIFS(Raw_Data!$F$2:$F$176,$C$2:$C$176,C132),2),Raw_Data!F132)</f>
        <v>977.46</v>
      </c>
      <c r="H132" s="2" t="n">
        <f aca="false">Raw_Data!G132</f>
        <v>27</v>
      </c>
      <c r="I132" s="2" t="str">
        <f aca="false">IF(TRIM(Raw_Data!H132)="","Not Assigned",TRIM(Raw_Data!H132))</f>
        <v>Global Supply Co</v>
      </c>
      <c r="J132" s="3" t="n">
        <f aca="false">DATE(VALUE(MID(SUBSTITUTE(Raw_Data!I132,"/","-"),7,4)),VALUE(MID(SUBSTITUTE(Raw_Data!I132,"/","-"),4,2)),VALUE(LEFT(SUBSTITUTE(Raw_Data!I132,"/","-"),2)))</f>
        <v>45757</v>
      </c>
      <c r="K132" s="2" t="str">
        <f aca="false">IF(COUNTIF(Raw_Data!$A$2:A132,Raw_Data!A132)&gt;1,"Duplicate - Remove","Keep")</f>
        <v>Keep</v>
      </c>
      <c r="L132" s="2" t="str">
        <f aca="false">IF(E132&lt;H132,"Reorder Needed","OK")</f>
        <v>OK</v>
      </c>
    </row>
    <row r="133" customFormat="false" ht="15" hidden="false" customHeight="false" outlineLevel="0" collapsed="false">
      <c r="A133" s="2" t="str">
        <f aca="false">Raw_Data!A133</f>
        <v>SKU1041</v>
      </c>
      <c r="B133" s="2" t="str">
        <f aca="false">TRIM(PROPER(Raw_Data!B133))</f>
        <v>Electric Kettle 1.5L</v>
      </c>
      <c r="C133" s="2" t="str">
        <f aca="false">PROPER(TRIM(Raw_Data!C133))</f>
        <v>Home Appliances</v>
      </c>
      <c r="D133" s="2" t="str">
        <f aca="false">IF(ISNUMBER(SEARCH("north",Raw_Data!D133)),"WH-North",IF(ISNUMBER(SEARCH("south",Raw_Data!D133)),"WH-South",IF(ISNUMBER(SEARCH("east",Raw_Data!D133)),"WH-East",IF(ISNUMBER(SEARCH("west",Raw_Data!D133)),"WH-West","Unknown"))))</f>
        <v>WH-North</v>
      </c>
      <c r="E133" s="2" t="n">
        <f aca="false">IF(Raw_Data!E133&lt;0,0,Raw_Data!E133)</f>
        <v>248</v>
      </c>
      <c r="F133" s="2" t="str">
        <f aca="false">IF(Raw_Data!E133&lt;0,"Yes","No")</f>
        <v>No</v>
      </c>
      <c r="G133" s="2" t="n">
        <f aca="false">IF(Raw_Data!F133="",ROUND(AVERAGEIFS(Raw_Data!$F$2:$F$176,$C$2:$C$176,C133),2),Raw_Data!F133)</f>
        <v>3085.53</v>
      </c>
      <c r="H133" s="2" t="n">
        <f aca="false">Raw_Data!G133</f>
        <v>24</v>
      </c>
      <c r="I133" s="2" t="str">
        <f aca="false">IF(TRIM(Raw_Data!H133)="","Not Assigned",TRIM(Raw_Data!H133))</f>
        <v>Fine Goods Pvt Ltd</v>
      </c>
      <c r="J133" s="3" t="n">
        <f aca="false">DATE(VALUE(MID(SUBSTITUTE(Raw_Data!I133,"/","-"),7,4)),VALUE(MID(SUBSTITUTE(Raw_Data!I133,"/","-"),4,2)),VALUE(LEFT(SUBSTITUTE(Raw_Data!I133,"/","-"),2)))</f>
        <v>45884</v>
      </c>
      <c r="K133" s="2" t="str">
        <f aca="false">IF(COUNTIF(Raw_Data!$A$2:A133,Raw_Data!A133)&gt;1,"Duplicate - Remove","Keep")</f>
        <v>Duplicate - Remove</v>
      </c>
      <c r="L133" s="2" t="str">
        <f aca="false">IF(E133&lt;H133,"Reorder Needed","OK")</f>
        <v>OK</v>
      </c>
    </row>
    <row r="134" customFormat="false" ht="15" hidden="false" customHeight="false" outlineLevel="0" collapsed="false">
      <c r="A134" s="2" t="str">
        <f aca="false">Raw_Data!A134</f>
        <v>SKU1025</v>
      </c>
      <c r="B134" s="2" t="str">
        <f aca="false">TRIM(PROPER(Raw_Data!B134))</f>
        <v>A4 Notebook 200Pg</v>
      </c>
      <c r="C134" s="2" t="str">
        <f aca="false">PROPER(TRIM(Raw_Data!C134))</f>
        <v>Stationery</v>
      </c>
      <c r="D134" s="2" t="str">
        <f aca="false">IF(ISNUMBER(SEARCH("north",Raw_Data!D134)),"WH-North",IF(ISNUMBER(SEARCH("south",Raw_Data!D134)),"WH-South",IF(ISNUMBER(SEARCH("east",Raw_Data!D134)),"WH-East",IF(ISNUMBER(SEARCH("west",Raw_Data!D134)),"WH-West","Unknown"))))</f>
        <v>WH-North</v>
      </c>
      <c r="E134" s="2" t="n">
        <f aca="false">IF(Raw_Data!E134&lt;0,0,Raw_Data!E134)</f>
        <v>239</v>
      </c>
      <c r="F134" s="2" t="str">
        <f aca="false">IF(Raw_Data!E134&lt;0,"Yes","No")</f>
        <v>No</v>
      </c>
      <c r="G134" s="2" t="n">
        <f aca="false">IF(Raw_Data!F134="",ROUND(AVERAGEIFS(Raw_Data!$F$2:$F$176,$C$2:$C$176,C134),2),Raw_Data!F134)</f>
        <v>2273.82</v>
      </c>
      <c r="H134" s="2" t="n">
        <f aca="false">Raw_Data!G134</f>
        <v>13</v>
      </c>
      <c r="I134" s="2" t="str">
        <f aca="false">IF(TRIM(Raw_Data!H134)="","Not Assigned",TRIM(Raw_Data!H134))</f>
        <v>Sharma Traders</v>
      </c>
      <c r="J134" s="3" t="n">
        <f aca="false">DATE(VALUE(MID(SUBSTITUTE(Raw_Data!I134,"/","-"),7,4)),VALUE(MID(SUBSTITUTE(Raw_Data!I134,"/","-"),4,2)),VALUE(LEFT(SUBSTITUTE(Raw_Data!I134,"/","-"),2)))</f>
        <v>45795</v>
      </c>
      <c r="K134" s="2" t="str">
        <f aca="false">IF(COUNTIF(Raw_Data!$A$2:A134,Raw_Data!A134)&gt;1,"Duplicate - Remove","Keep")</f>
        <v>Keep</v>
      </c>
      <c r="L134" s="2" t="str">
        <f aca="false">IF(E134&lt;H134,"Reorder Needed","OK")</f>
        <v>OK</v>
      </c>
    </row>
    <row r="135" customFormat="false" ht="15" hidden="false" customHeight="false" outlineLevel="0" collapsed="false">
      <c r="A135" s="2" t="str">
        <f aca="false">Raw_Data!A135</f>
        <v>SKU1033</v>
      </c>
      <c r="B135" s="2" t="str">
        <f aca="false">TRIM(PROPER(Raw_Data!B135))</f>
        <v>Whiteboard Marker</v>
      </c>
      <c r="C135" s="2" t="str">
        <f aca="false">PROPER(TRIM(Raw_Data!C135))</f>
        <v>Stationery</v>
      </c>
      <c r="D135" s="2" t="str">
        <f aca="false">IF(ISNUMBER(SEARCH("north",Raw_Data!D135)),"WH-North",IF(ISNUMBER(SEARCH("south",Raw_Data!D135)),"WH-South",IF(ISNUMBER(SEARCH("east",Raw_Data!D135)),"WH-East",IF(ISNUMBER(SEARCH("west",Raw_Data!D135)),"WH-West","Unknown"))))</f>
        <v>WH-North</v>
      </c>
      <c r="E135" s="2" t="n">
        <f aca="false">IF(Raw_Data!E135&lt;0,0,Raw_Data!E135)</f>
        <v>24</v>
      </c>
      <c r="F135" s="2" t="str">
        <f aca="false">IF(Raw_Data!E135&lt;0,"Yes","No")</f>
        <v>No</v>
      </c>
      <c r="G135" s="2" t="n">
        <f aca="false">IF(Raw_Data!F135="",ROUND(AVERAGEIFS(Raw_Data!$F$2:$F$176,$C$2:$C$176,C135),2),Raw_Data!F135)</f>
        <v>928.61</v>
      </c>
      <c r="H135" s="2" t="n">
        <f aca="false">Raw_Data!G135</f>
        <v>36</v>
      </c>
      <c r="I135" s="2" t="str">
        <f aca="false">IF(TRIM(Raw_Data!H135)="","Not Assigned",TRIM(Raw_Data!H135))</f>
        <v>Fine Goods Pvt Ltd</v>
      </c>
      <c r="J135" s="3" t="n">
        <f aca="false">DATE(VALUE(MID(SUBSTITUTE(Raw_Data!I135,"/","-"),7,4)),VALUE(MID(SUBSTITUTE(Raw_Data!I135,"/","-"),4,2)),VALUE(LEFT(SUBSTITUTE(Raw_Data!I135,"/","-"),2)))</f>
        <v>45747</v>
      </c>
      <c r="K135" s="2" t="str">
        <f aca="false">IF(COUNTIF(Raw_Data!$A$2:A135,Raw_Data!A135)&gt;1,"Duplicate - Remove","Keep")</f>
        <v>Keep</v>
      </c>
      <c r="L135" s="2" t="str">
        <f aca="false">IF(E135&lt;H135,"Reorder Needed","OK")</f>
        <v>Reorder Needed</v>
      </c>
    </row>
    <row r="136" customFormat="false" ht="15" hidden="false" customHeight="false" outlineLevel="0" collapsed="false">
      <c r="A136" s="2" t="str">
        <f aca="false">Raw_Data!A136</f>
        <v>SKU1031</v>
      </c>
      <c r="B136" s="2" t="str">
        <f aca="false">TRIM(PROPER(Raw_Data!B136))</f>
        <v>Sticky Notes Pack</v>
      </c>
      <c r="C136" s="2" t="str">
        <f aca="false">PROPER(TRIM(Raw_Data!C136))</f>
        <v>Stationery</v>
      </c>
      <c r="D136" s="2" t="str">
        <f aca="false">IF(ISNUMBER(SEARCH("north",Raw_Data!D136)),"WH-North",IF(ISNUMBER(SEARCH("south",Raw_Data!D136)),"WH-South",IF(ISNUMBER(SEARCH("east",Raw_Data!D136)),"WH-East",IF(ISNUMBER(SEARCH("west",Raw_Data!D136)),"WH-West","Unknown"))))</f>
        <v>WH-East</v>
      </c>
      <c r="E136" s="2" t="n">
        <f aca="false">IF(Raw_Data!E136&lt;0,0,Raw_Data!E136)</f>
        <v>188</v>
      </c>
      <c r="F136" s="2" t="str">
        <f aca="false">IF(Raw_Data!E136&lt;0,"Yes","No")</f>
        <v>No</v>
      </c>
      <c r="G136" s="2" t="n">
        <f aca="false">IF(Raw_Data!F136="",ROUND(AVERAGEIFS(Raw_Data!$F$2:$F$176,$C$2:$C$176,C136),2),Raw_Data!F136)</f>
        <v>1035.64</v>
      </c>
      <c r="H136" s="2" t="n">
        <f aca="false">Raw_Data!G136</f>
        <v>13</v>
      </c>
      <c r="I136" s="2" t="str">
        <f aca="false">IF(TRIM(Raw_Data!H136)="","Not Assigned",TRIM(Raw_Data!H136))</f>
        <v>Metro Distributors</v>
      </c>
      <c r="J136" s="3" t="n">
        <f aca="false">DATE(VALUE(MID(SUBSTITUTE(Raw_Data!I136,"/","-"),7,4)),VALUE(MID(SUBSTITUTE(Raw_Data!I136,"/","-"),4,2)),VALUE(LEFT(SUBSTITUTE(Raw_Data!I136,"/","-"),2)))</f>
        <v>45857</v>
      </c>
      <c r="K136" s="2" t="str">
        <f aca="false">IF(COUNTIF(Raw_Data!$A$2:A136,Raw_Data!A136)&gt;1,"Duplicate - Remove","Keep")</f>
        <v>Keep</v>
      </c>
      <c r="L136" s="2" t="str">
        <f aca="false">IF(E136&lt;H136,"Reorder Needed","OK")</f>
        <v>OK</v>
      </c>
    </row>
    <row r="137" customFormat="false" ht="15" hidden="false" customHeight="false" outlineLevel="0" collapsed="false">
      <c r="A137" s="2" t="str">
        <f aca="false">Raw_Data!A137</f>
        <v>SKU1072</v>
      </c>
      <c r="B137" s="2" t="str">
        <f aca="false">TRIM(PROPER(Raw_Data!B137))</f>
        <v>Bookshelf 3-Tier</v>
      </c>
      <c r="C137" s="2" t="str">
        <f aca="false">PROPER(TRIM(Raw_Data!C137))</f>
        <v>Furniture</v>
      </c>
      <c r="D137" s="2" t="str">
        <f aca="false">IF(ISNUMBER(SEARCH("north",Raw_Data!D137)),"WH-North",IF(ISNUMBER(SEARCH("south",Raw_Data!D137)),"WH-South",IF(ISNUMBER(SEARCH("east",Raw_Data!D137)),"WH-East",IF(ISNUMBER(SEARCH("west",Raw_Data!D137)),"WH-West","Unknown"))))</f>
        <v>WH-West</v>
      </c>
      <c r="E137" s="2" t="n">
        <f aca="false">IF(Raw_Data!E137&lt;0,0,Raw_Data!E137)</f>
        <v>97</v>
      </c>
      <c r="F137" s="2" t="str">
        <f aca="false">IF(Raw_Data!E137&lt;0,"Yes","No")</f>
        <v>No</v>
      </c>
      <c r="G137" s="2" t="n">
        <f aca="false">IF(Raw_Data!F137="",ROUND(AVERAGEIFS(Raw_Data!$F$2:$F$176,$C$2:$C$176,C137),2),Raw_Data!F137)</f>
        <v>1771.75</v>
      </c>
      <c r="H137" s="2" t="n">
        <f aca="false">Raw_Data!G137</f>
        <v>36</v>
      </c>
      <c r="I137" s="2" t="str">
        <f aca="false">IF(TRIM(Raw_Data!H137)="","Not Assigned",TRIM(Raw_Data!H137))</f>
        <v>Fine Goods Pvt Ltd</v>
      </c>
      <c r="J137" s="3" t="n">
        <f aca="false">DATE(VALUE(MID(SUBSTITUTE(Raw_Data!I137,"/","-"),7,4)),VALUE(MID(SUBSTITUTE(Raw_Data!I137,"/","-"),4,2)),VALUE(LEFT(SUBSTITUTE(Raw_Data!I137,"/","-"),2)))</f>
        <v>45681</v>
      </c>
      <c r="K137" s="2" t="str">
        <f aca="false">IF(COUNTIF(Raw_Data!$A$2:A137,Raw_Data!A137)&gt;1,"Duplicate - Remove","Keep")</f>
        <v>Keep</v>
      </c>
      <c r="L137" s="2" t="str">
        <f aca="false">IF(E137&lt;H137,"Reorder Needed","OK")</f>
        <v>OK</v>
      </c>
    </row>
    <row r="138" customFormat="false" ht="15" hidden="false" customHeight="false" outlineLevel="0" collapsed="false">
      <c r="A138" s="2" t="str">
        <f aca="false">Raw_Data!A138</f>
        <v>SKU1116</v>
      </c>
      <c r="B138" s="2" t="str">
        <f aca="false">TRIM(PROPER(Raw_Data!B138))</f>
        <v>Track Pants</v>
      </c>
      <c r="C138" s="2" t="str">
        <f aca="false">PROPER(TRIM(Raw_Data!C138))</f>
        <v>Apparel</v>
      </c>
      <c r="D138" s="2" t="str">
        <f aca="false">IF(ISNUMBER(SEARCH("north",Raw_Data!D138)),"WH-North",IF(ISNUMBER(SEARCH("south",Raw_Data!D138)),"WH-South",IF(ISNUMBER(SEARCH("east",Raw_Data!D138)),"WH-East",IF(ISNUMBER(SEARCH("west",Raw_Data!D138)),"WH-West","Unknown"))))</f>
        <v>WH-West</v>
      </c>
      <c r="E138" s="2" t="n">
        <f aca="false">IF(Raw_Data!E138&lt;0,0,Raw_Data!E138)</f>
        <v>277</v>
      </c>
      <c r="F138" s="2" t="str">
        <f aca="false">IF(Raw_Data!E138&lt;0,"Yes","No")</f>
        <v>No</v>
      </c>
      <c r="G138" s="2" t="n">
        <f aca="false">IF(Raw_Data!F138="",ROUND(AVERAGEIFS(Raw_Data!$F$2:$F$176,$C$2:$C$176,C138),2),Raw_Data!F138)</f>
        <v>1910.3</v>
      </c>
      <c r="H138" s="2" t="n">
        <f aca="false">Raw_Data!G138</f>
        <v>36</v>
      </c>
      <c r="I138" s="2" t="str">
        <f aca="false">IF(TRIM(Raw_Data!H138)="","Not Assigned",TRIM(Raw_Data!H138))</f>
        <v>Not Assigned</v>
      </c>
      <c r="J138" s="3" t="n">
        <f aca="false">DATE(VALUE(MID(SUBSTITUTE(Raw_Data!I138,"/","-"),7,4)),VALUE(MID(SUBSTITUTE(Raw_Data!I138,"/","-"),4,2)),VALUE(LEFT(SUBSTITUTE(Raw_Data!I138,"/","-"),2)))</f>
        <v>45864</v>
      </c>
      <c r="K138" s="2" t="str">
        <f aca="false">IF(COUNTIF(Raw_Data!$A$2:A138,Raw_Data!A138)&gt;1,"Duplicate - Remove","Keep")</f>
        <v>Keep</v>
      </c>
      <c r="L138" s="2" t="str">
        <f aca="false">IF(E138&lt;H138,"Reorder Needed","OK")</f>
        <v>OK</v>
      </c>
    </row>
    <row r="139" customFormat="false" ht="15" hidden="false" customHeight="false" outlineLevel="0" collapsed="false">
      <c r="A139" s="2" t="str">
        <f aca="false">Raw_Data!A139</f>
        <v>SKU1064</v>
      </c>
      <c r="B139" s="2" t="str">
        <f aca="false">TRIM(PROPER(Raw_Data!B139))</f>
        <v>Plastic Chair</v>
      </c>
      <c r="C139" s="2" t="str">
        <f aca="false">PROPER(TRIM(Raw_Data!C139))</f>
        <v>Furniture</v>
      </c>
      <c r="D139" s="2" t="str">
        <f aca="false">IF(ISNUMBER(SEARCH("north",Raw_Data!D139)),"WH-North",IF(ISNUMBER(SEARCH("south",Raw_Data!D139)),"WH-South",IF(ISNUMBER(SEARCH("east",Raw_Data!D139)),"WH-East",IF(ISNUMBER(SEARCH("west",Raw_Data!D139)),"WH-West","Unknown"))))</f>
        <v>WH-West</v>
      </c>
      <c r="E139" s="2" t="n">
        <f aca="false">IF(Raw_Data!E139&lt;0,0,Raw_Data!E139)</f>
        <v>99</v>
      </c>
      <c r="F139" s="2" t="str">
        <f aca="false">IF(Raw_Data!E139&lt;0,"Yes","No")</f>
        <v>No</v>
      </c>
      <c r="G139" s="2" t="n">
        <f aca="false">IF(Raw_Data!F139="",ROUND(AVERAGEIFS(Raw_Data!$F$2:$F$176,$C$2:$C$176,C139),2),Raw_Data!F139)</f>
        <v>1780.89</v>
      </c>
      <c r="H139" s="2" t="n">
        <f aca="false">Raw_Data!G139</f>
        <v>37</v>
      </c>
      <c r="I139" s="2" t="str">
        <f aca="false">IF(TRIM(Raw_Data!H139)="","Not Assigned",TRIM(Raw_Data!H139))</f>
        <v>Fine Goods Pvt Ltd</v>
      </c>
      <c r="J139" s="3" t="n">
        <f aca="false">DATE(VALUE(MID(SUBSTITUTE(Raw_Data!I139,"/","-"),7,4)),VALUE(MID(SUBSTITUTE(Raw_Data!I139,"/","-"),4,2)),VALUE(LEFT(SUBSTITUTE(Raw_Data!I139,"/","-"),2)))</f>
        <v>45687</v>
      </c>
      <c r="K139" s="2" t="str">
        <f aca="false">IF(COUNTIF(Raw_Data!$A$2:A139,Raw_Data!A139)&gt;1,"Duplicate - Remove","Keep")</f>
        <v>Duplicate - Remove</v>
      </c>
      <c r="L139" s="2" t="str">
        <f aca="false">IF(E139&lt;H139,"Reorder Needed","OK")</f>
        <v>OK</v>
      </c>
    </row>
    <row r="140" customFormat="false" ht="15" hidden="false" customHeight="false" outlineLevel="0" collapsed="false">
      <c r="A140" s="2" t="str">
        <f aca="false">Raw_Data!A140</f>
        <v>SKU1099</v>
      </c>
      <c r="B140" s="2" t="str">
        <f aca="false">TRIM(PROPER(Raw_Data!B140))</f>
        <v>Sneakers Unisex</v>
      </c>
      <c r="C140" s="2" t="str">
        <f aca="false">PROPER(TRIM(Raw_Data!C140))</f>
        <v>Footwear</v>
      </c>
      <c r="D140" s="2" t="str">
        <f aca="false">IF(ISNUMBER(SEARCH("north",Raw_Data!D140)),"WH-North",IF(ISNUMBER(SEARCH("south",Raw_Data!D140)),"WH-South",IF(ISNUMBER(SEARCH("east",Raw_Data!D140)),"WH-East",IF(ISNUMBER(SEARCH("west",Raw_Data!D140)),"WH-West","Unknown"))))</f>
        <v>WH-East</v>
      </c>
      <c r="E140" s="2" t="n">
        <f aca="false">IF(Raw_Data!E140&lt;0,0,Raw_Data!E140)</f>
        <v>237</v>
      </c>
      <c r="F140" s="2" t="str">
        <f aca="false">IF(Raw_Data!E140&lt;0,"Yes","No")</f>
        <v>No</v>
      </c>
      <c r="G140" s="2" t="n">
        <f aca="false">IF(Raw_Data!F140="",ROUND(AVERAGEIFS(Raw_Data!$F$2:$F$176,$C$2:$C$176,C140),2),Raw_Data!F140)</f>
        <v>887.82</v>
      </c>
      <c r="H140" s="2" t="n">
        <f aca="false">Raw_Data!G140</f>
        <v>30</v>
      </c>
      <c r="I140" s="2" t="str">
        <f aca="false">IF(TRIM(Raw_Data!H140)="","Not Assigned",TRIM(Raw_Data!H140))</f>
        <v>Nova Wholesale</v>
      </c>
      <c r="J140" s="3" t="n">
        <f aca="false">DATE(VALUE(MID(SUBSTITUTE(Raw_Data!I140,"/","-"),7,4)),VALUE(MID(SUBSTITUTE(Raw_Data!I140,"/","-"),4,2)),VALUE(LEFT(SUBSTITUTE(Raw_Data!I140,"/","-"),2)))</f>
        <v>45663</v>
      </c>
      <c r="K140" s="2" t="str">
        <f aca="false">IF(COUNTIF(Raw_Data!$A$2:A140,Raw_Data!A140)&gt;1,"Duplicate - Remove","Keep")</f>
        <v>Duplicate - Remove</v>
      </c>
      <c r="L140" s="2" t="str">
        <f aca="false">IF(E140&lt;H140,"Reorder Needed","OK")</f>
        <v>OK</v>
      </c>
    </row>
    <row r="141" customFormat="false" ht="15" hidden="false" customHeight="false" outlineLevel="0" collapsed="false">
      <c r="A141" s="2" t="str">
        <f aca="false">Raw_Data!A141</f>
        <v>SKU1019</v>
      </c>
      <c r="B141" s="2" t="str">
        <f aca="false">TRIM(PROPER(Raw_Data!B141))</f>
        <v>Wall Charger 20W</v>
      </c>
      <c r="C141" s="2" t="str">
        <f aca="false">PROPER(TRIM(Raw_Data!C141))</f>
        <v>Electronics</v>
      </c>
      <c r="D141" s="2" t="str">
        <f aca="false">IF(ISNUMBER(SEARCH("north",Raw_Data!D141)),"WH-North",IF(ISNUMBER(SEARCH("south",Raw_Data!D141)),"WH-South",IF(ISNUMBER(SEARCH("east",Raw_Data!D141)),"WH-East",IF(ISNUMBER(SEARCH("west",Raw_Data!D141)),"WH-West","Unknown"))))</f>
        <v>WH-East</v>
      </c>
      <c r="E141" s="2" t="n">
        <f aca="false">IF(Raw_Data!E141&lt;0,0,Raw_Data!E141)</f>
        <v>221</v>
      </c>
      <c r="F141" s="2" t="str">
        <f aca="false">IF(Raw_Data!E141&lt;0,"Yes","No")</f>
        <v>No</v>
      </c>
      <c r="G141" s="2" t="n">
        <f aca="false">IF(Raw_Data!F141="",ROUND(AVERAGEIFS(Raw_Data!$F$2:$F$176,$C$2:$C$176,C141),2),Raw_Data!F141)</f>
        <v>1871.45</v>
      </c>
      <c r="H141" s="2" t="n">
        <f aca="false">Raw_Data!G141</f>
        <v>37</v>
      </c>
      <c r="I141" s="2" t="str">
        <f aca="false">IF(TRIM(Raw_Data!H141)="","Not Assigned",TRIM(Raw_Data!H141))</f>
        <v>Sharma Traders</v>
      </c>
      <c r="J141" s="3" t="n">
        <f aca="false">DATE(VALUE(MID(SUBSTITUTE(Raw_Data!I141,"/","-"),7,4)),VALUE(MID(SUBSTITUTE(Raw_Data!I141,"/","-"),4,2)),VALUE(LEFT(SUBSTITUTE(Raw_Data!I141,"/","-"),2)))</f>
        <v>45771</v>
      </c>
      <c r="K141" s="2" t="str">
        <f aca="false">IF(COUNTIF(Raw_Data!$A$2:A141,Raw_Data!A141)&gt;1,"Duplicate - Remove","Keep")</f>
        <v>Keep</v>
      </c>
      <c r="L141" s="2" t="str">
        <f aca="false">IF(E141&lt;H141,"Reorder Needed","OK")</f>
        <v>OK</v>
      </c>
    </row>
    <row r="142" customFormat="false" ht="15" hidden="false" customHeight="false" outlineLevel="0" collapsed="false">
      <c r="A142" s="2" t="str">
        <f aca="false">Raw_Data!A142</f>
        <v>SKU1156</v>
      </c>
      <c r="B142" s="2" t="str">
        <f aca="false">TRIM(PROPER(Raw_Data!B142))</f>
        <v>Soft Toy Bear</v>
      </c>
      <c r="C142" s="2" t="str">
        <f aca="false">PROPER(TRIM(Raw_Data!C142))</f>
        <v>Toys</v>
      </c>
      <c r="D142" s="2" t="str">
        <f aca="false">IF(ISNUMBER(SEARCH("north",Raw_Data!D142)),"WH-North",IF(ISNUMBER(SEARCH("south",Raw_Data!D142)),"WH-South",IF(ISNUMBER(SEARCH("east",Raw_Data!D142)),"WH-East",IF(ISNUMBER(SEARCH("west",Raw_Data!D142)),"WH-West","Unknown"))))</f>
        <v>WH-West</v>
      </c>
      <c r="E142" s="2" t="n">
        <f aca="false">IF(Raw_Data!E142&lt;0,0,Raw_Data!E142)</f>
        <v>45</v>
      </c>
      <c r="F142" s="2" t="str">
        <f aca="false">IF(Raw_Data!E142&lt;0,"Yes","No")</f>
        <v>No</v>
      </c>
      <c r="G142" s="2" t="n">
        <f aca="false">IF(Raw_Data!F142="",ROUND(AVERAGEIFS(Raw_Data!$F$2:$F$176,$C$2:$C$176,C142),2),Raw_Data!F142)</f>
        <v>2558.48</v>
      </c>
      <c r="H142" s="2" t="n">
        <f aca="false">Raw_Data!G142</f>
        <v>27</v>
      </c>
      <c r="I142" s="2" t="str">
        <f aca="false">IF(TRIM(Raw_Data!H142)="","Not Assigned",TRIM(Raw_Data!H142))</f>
        <v>Metro Distributors</v>
      </c>
      <c r="J142" s="3" t="n">
        <f aca="false">DATE(VALUE(MID(SUBSTITUTE(Raw_Data!I142,"/","-"),7,4)),VALUE(MID(SUBSTITUTE(Raw_Data!I142,"/","-"),4,2)),VALUE(LEFT(SUBSTITUTE(Raw_Data!I142,"/","-"),2)))</f>
        <v>45690</v>
      </c>
      <c r="K142" s="2" t="str">
        <f aca="false">IF(COUNTIF(Raw_Data!$A$2:A142,Raw_Data!A142)&gt;1,"Duplicate - Remove","Keep")</f>
        <v>Keep</v>
      </c>
      <c r="L142" s="2" t="str">
        <f aca="false">IF(E142&lt;H142,"Reorder Needed","OK")</f>
        <v>OK</v>
      </c>
    </row>
    <row r="143" customFormat="false" ht="15" hidden="false" customHeight="false" outlineLevel="0" collapsed="false">
      <c r="A143" s="2" t="str">
        <f aca="false">Raw_Data!A143</f>
        <v>SKU1093</v>
      </c>
      <c r="B143" s="2" t="str">
        <f aca="false">TRIM(PROPER(Raw_Data!B143))</f>
        <v>Sports Sandals</v>
      </c>
      <c r="C143" s="2" t="str">
        <f aca="false">PROPER(TRIM(Raw_Data!C143))</f>
        <v>Footwear</v>
      </c>
      <c r="D143" s="2" t="str">
        <f aca="false">IF(ISNUMBER(SEARCH("north",Raw_Data!D143)),"WH-North",IF(ISNUMBER(SEARCH("south",Raw_Data!D143)),"WH-South",IF(ISNUMBER(SEARCH("east",Raw_Data!D143)),"WH-East",IF(ISNUMBER(SEARCH("west",Raw_Data!D143)),"WH-West","Unknown"))))</f>
        <v>WH-North</v>
      </c>
      <c r="E143" s="2" t="n">
        <f aca="false">IF(Raw_Data!E143&lt;0,0,Raw_Data!E143)</f>
        <v>208</v>
      </c>
      <c r="F143" s="2" t="str">
        <f aca="false">IF(Raw_Data!E143&lt;0,"Yes","No")</f>
        <v>No</v>
      </c>
      <c r="G143" s="2" t="n">
        <f aca="false">IF(Raw_Data!F143="",ROUND(AVERAGEIFS(Raw_Data!$F$2:$F$176,$C$2:$C$176,C143),2),Raw_Data!F143)</f>
        <v>3228.12</v>
      </c>
      <c r="H143" s="2" t="n">
        <f aca="false">Raw_Data!G143</f>
        <v>21</v>
      </c>
      <c r="I143" s="2" t="str">
        <f aca="false">IF(TRIM(Raw_Data!H143)="","Not Assigned",TRIM(Raw_Data!H143))</f>
        <v>Sharma Traders</v>
      </c>
      <c r="J143" s="3" t="n">
        <f aca="false">DATE(VALUE(MID(SUBSTITUTE(Raw_Data!I143,"/","-"),7,4)),VALUE(MID(SUBSTITUTE(Raw_Data!I143,"/","-"),4,2)),VALUE(LEFT(SUBSTITUTE(Raw_Data!I143,"/","-"),2)))</f>
        <v>45860</v>
      </c>
      <c r="K143" s="2" t="str">
        <f aca="false">IF(COUNTIF(Raw_Data!$A$2:A143,Raw_Data!A143)&gt;1,"Duplicate - Remove","Keep")</f>
        <v>Keep</v>
      </c>
      <c r="L143" s="2" t="str">
        <f aca="false">IF(E143&lt;H143,"Reorder Needed","OK")</f>
        <v>OK</v>
      </c>
    </row>
    <row r="144" customFormat="false" ht="15" hidden="false" customHeight="false" outlineLevel="0" collapsed="false">
      <c r="A144" s="2" t="str">
        <f aca="false">Raw_Data!A144</f>
        <v>SKU1050</v>
      </c>
      <c r="B144" s="2" t="str">
        <f aca="false">TRIM(PROPER(Raw_Data!B144))</f>
        <v>Mixer Grinder 500W</v>
      </c>
      <c r="C144" s="2" t="str">
        <f aca="false">PROPER(TRIM(Raw_Data!C144))</f>
        <v>Home Appliances</v>
      </c>
      <c r="D144" s="2" t="str">
        <f aca="false">IF(ISNUMBER(SEARCH("north",Raw_Data!D144)),"WH-North",IF(ISNUMBER(SEARCH("south",Raw_Data!D144)),"WH-South",IF(ISNUMBER(SEARCH("east",Raw_Data!D144)),"WH-East",IF(ISNUMBER(SEARCH("west",Raw_Data!D144)),"WH-West","Unknown"))))</f>
        <v>WH-South</v>
      </c>
      <c r="E144" s="2" t="n">
        <f aca="false">IF(Raw_Data!E144&lt;0,0,Raw_Data!E144)</f>
        <v>30</v>
      </c>
      <c r="F144" s="2" t="str">
        <f aca="false">IF(Raw_Data!E144&lt;0,"Yes","No")</f>
        <v>No</v>
      </c>
      <c r="G144" s="2" t="n">
        <f aca="false">IF(Raw_Data!F144="",ROUND(AVERAGEIFS(Raw_Data!$F$2:$F$176,$C$2:$C$176,C144),2),Raw_Data!F144)</f>
        <v>2756.18</v>
      </c>
      <c r="H144" s="2" t="n">
        <f aca="false">Raw_Data!G144</f>
        <v>24</v>
      </c>
      <c r="I144" s="2" t="str">
        <f aca="false">IF(TRIM(Raw_Data!H144)="","Not Assigned",TRIM(Raw_Data!H144))</f>
        <v>Metro Distributors</v>
      </c>
      <c r="J144" s="3" t="n">
        <f aca="false">DATE(VALUE(MID(SUBSTITUTE(Raw_Data!I144,"/","-"),7,4)),VALUE(MID(SUBSTITUTE(Raw_Data!I144,"/","-"),4,2)),VALUE(LEFT(SUBSTITUTE(Raw_Data!I144,"/","-"),2)))</f>
        <v>45744</v>
      </c>
      <c r="K144" s="2" t="str">
        <f aca="false">IF(COUNTIF(Raw_Data!$A$2:A144,Raw_Data!A144)&gt;1,"Duplicate - Remove","Keep")</f>
        <v>Keep</v>
      </c>
      <c r="L144" s="2" t="str">
        <f aca="false">IF(E144&lt;H144,"Reorder Needed","OK")</f>
        <v>OK</v>
      </c>
    </row>
    <row r="145" customFormat="false" ht="15" hidden="false" customHeight="false" outlineLevel="0" collapsed="false">
      <c r="A145" s="2" t="str">
        <f aca="false">Raw_Data!A145</f>
        <v>SKU1014</v>
      </c>
      <c r="B145" s="2" t="str">
        <f aca="false">TRIM(PROPER(Raw_Data!B145))</f>
        <v>Power Bank 10000Mah</v>
      </c>
      <c r="C145" s="2" t="str">
        <f aca="false">PROPER(TRIM(Raw_Data!C145))</f>
        <v>Electronics</v>
      </c>
      <c r="D145" s="2" t="str">
        <f aca="false">IF(ISNUMBER(SEARCH("north",Raw_Data!D145)),"WH-North",IF(ISNUMBER(SEARCH("south",Raw_Data!D145)),"WH-South",IF(ISNUMBER(SEARCH("east",Raw_Data!D145)),"WH-East",IF(ISNUMBER(SEARCH("west",Raw_Data!D145)),"WH-West","Unknown"))))</f>
        <v>WH-South</v>
      </c>
      <c r="E145" s="2" t="n">
        <f aca="false">IF(Raw_Data!E145&lt;0,0,Raw_Data!E145)</f>
        <v>248</v>
      </c>
      <c r="F145" s="2" t="str">
        <f aca="false">IF(Raw_Data!E145&lt;0,"Yes","No")</f>
        <v>No</v>
      </c>
      <c r="G145" s="2" t="n">
        <f aca="false">IF(Raw_Data!F145="",ROUND(AVERAGEIFS(Raw_Data!$F$2:$F$176,$C$2:$C$176,C145),2),Raw_Data!F145)</f>
        <v>702.25</v>
      </c>
      <c r="H145" s="2" t="n">
        <f aca="false">Raw_Data!G145</f>
        <v>26</v>
      </c>
      <c r="I145" s="2" t="str">
        <f aca="false">IF(TRIM(Raw_Data!H145)="","Not Assigned",TRIM(Raw_Data!H145))</f>
        <v>Nova Wholesale</v>
      </c>
      <c r="J145" s="3" t="n">
        <f aca="false">DATE(VALUE(MID(SUBSTITUTE(Raw_Data!I145,"/","-"),7,4)),VALUE(MID(SUBSTITUTE(Raw_Data!I145,"/","-"),4,2)),VALUE(LEFT(SUBSTITUTE(Raw_Data!I145,"/","-"),2)))</f>
        <v>45766</v>
      </c>
      <c r="K145" s="2" t="str">
        <f aca="false">IF(COUNTIF(Raw_Data!$A$2:A145,Raw_Data!A145)&gt;1,"Duplicate - Remove","Keep")</f>
        <v>Keep</v>
      </c>
      <c r="L145" s="2" t="str">
        <f aca="false">IF(E145&lt;H145,"Reorder Needed","OK")</f>
        <v>OK</v>
      </c>
    </row>
    <row r="146" customFormat="false" ht="15" hidden="false" customHeight="false" outlineLevel="0" collapsed="false">
      <c r="A146" s="2" t="str">
        <f aca="false">Raw_Data!A146</f>
        <v>SKU1103</v>
      </c>
      <c r="B146" s="2" t="str">
        <f aca="false">TRIM(PROPER(Raw_Data!B146))</f>
        <v>Cotton T-Shirt</v>
      </c>
      <c r="C146" s="2" t="str">
        <f aca="false">PROPER(TRIM(Raw_Data!C146))</f>
        <v>Apparel</v>
      </c>
      <c r="D146" s="2" t="str">
        <f aca="false">IF(ISNUMBER(SEARCH("north",Raw_Data!D146)),"WH-North",IF(ISNUMBER(SEARCH("south",Raw_Data!D146)),"WH-South",IF(ISNUMBER(SEARCH("east",Raw_Data!D146)),"WH-East",IF(ISNUMBER(SEARCH("west",Raw_Data!D146)),"WH-West","Unknown"))))</f>
        <v>WH-East</v>
      </c>
      <c r="E146" s="2" t="n">
        <f aca="false">IF(Raw_Data!E146&lt;0,0,Raw_Data!E146)</f>
        <v>271</v>
      </c>
      <c r="F146" s="2" t="str">
        <f aca="false">IF(Raw_Data!E146&lt;0,"Yes","No")</f>
        <v>No</v>
      </c>
      <c r="G146" s="2" t="n">
        <f aca="false">IF(Raw_Data!F146="",ROUND(AVERAGEIFS(Raw_Data!$F$2:$F$176,$C$2:$C$176,C146),2),Raw_Data!F146)</f>
        <v>2591.2</v>
      </c>
      <c r="H146" s="2" t="n">
        <f aca="false">Raw_Data!G146</f>
        <v>10</v>
      </c>
      <c r="I146" s="2" t="str">
        <f aca="false">IF(TRIM(Raw_Data!H146)="","Not Assigned",TRIM(Raw_Data!H146))</f>
        <v>Sharma Traders</v>
      </c>
      <c r="J146" s="3" t="n">
        <f aca="false">DATE(VALUE(MID(SUBSTITUTE(Raw_Data!I146,"/","-"),7,4)),VALUE(MID(SUBSTITUTE(Raw_Data!I146,"/","-"),4,2)),VALUE(LEFT(SUBSTITUTE(Raw_Data!I146,"/","-"),2)))</f>
        <v>45780</v>
      </c>
      <c r="K146" s="2" t="str">
        <f aca="false">IF(COUNTIF(Raw_Data!$A$2:A146,Raw_Data!A146)&gt;1,"Duplicate - Remove","Keep")</f>
        <v>Keep</v>
      </c>
      <c r="L146" s="2" t="str">
        <f aca="false">IF(E146&lt;H146,"Reorder Needed","OK")</f>
        <v>OK</v>
      </c>
    </row>
    <row r="147" customFormat="false" ht="15" hidden="false" customHeight="false" outlineLevel="0" collapsed="false">
      <c r="A147" s="2" t="str">
        <f aca="false">Raw_Data!A147</f>
        <v>SKU1012</v>
      </c>
      <c r="B147" s="2" t="str">
        <f aca="false">TRIM(PROPER(Raw_Data!B147))</f>
        <v>Bluetooth Speaker</v>
      </c>
      <c r="C147" s="2" t="str">
        <f aca="false">PROPER(TRIM(Raw_Data!C147))</f>
        <v>Electronics</v>
      </c>
      <c r="D147" s="2" t="str">
        <f aca="false">IF(ISNUMBER(SEARCH("north",Raw_Data!D147)),"WH-North",IF(ISNUMBER(SEARCH("south",Raw_Data!D147)),"WH-South",IF(ISNUMBER(SEARCH("east",Raw_Data!D147)),"WH-East",IF(ISNUMBER(SEARCH("west",Raw_Data!D147)),"WH-West","Unknown"))))</f>
        <v>WH-West</v>
      </c>
      <c r="E147" s="2" t="n">
        <f aca="false">IF(Raw_Data!E147&lt;0,0,Raw_Data!E147)</f>
        <v>264</v>
      </c>
      <c r="F147" s="2" t="str">
        <f aca="false">IF(Raw_Data!E147&lt;0,"Yes","No")</f>
        <v>No</v>
      </c>
      <c r="G147" s="2" t="n">
        <f aca="false">IF(Raw_Data!F147="",ROUND(AVERAGEIFS(Raw_Data!$F$2:$F$176,$C$2:$C$176,C147),2),Raw_Data!F147)</f>
        <v>653.72</v>
      </c>
      <c r="H147" s="2" t="n">
        <f aca="false">Raw_Data!G147</f>
        <v>34</v>
      </c>
      <c r="I147" s="2" t="str">
        <f aca="false">IF(TRIM(Raw_Data!H147)="","Not Assigned",TRIM(Raw_Data!H147))</f>
        <v>Global Supply Co</v>
      </c>
      <c r="J147" s="3" t="n">
        <f aca="false">DATE(VALUE(MID(SUBSTITUTE(Raw_Data!I147,"/","-"),7,4)),VALUE(MID(SUBSTITUTE(Raw_Data!I147,"/","-"),4,2)),VALUE(LEFT(SUBSTITUTE(Raw_Data!I147,"/","-"),2)))</f>
        <v>45796</v>
      </c>
      <c r="K147" s="2" t="str">
        <f aca="false">IF(COUNTIF(Raw_Data!$A$2:A147,Raw_Data!A147)&gt;1,"Duplicate - Remove","Keep")</f>
        <v>Keep</v>
      </c>
      <c r="L147" s="2" t="str">
        <f aca="false">IF(E147&lt;H147,"Reorder Needed","OK")</f>
        <v>OK</v>
      </c>
    </row>
    <row r="148" customFormat="false" ht="15" hidden="false" customHeight="false" outlineLevel="0" collapsed="false">
      <c r="A148" s="2" t="str">
        <f aca="false">Raw_Data!A148</f>
        <v>SKU1149</v>
      </c>
      <c r="B148" s="2" t="str">
        <f aca="false">TRIM(PROPER(Raw_Data!B148))</f>
        <v>Puzzle 100Pc</v>
      </c>
      <c r="C148" s="2" t="str">
        <f aca="false">PROPER(TRIM(Raw_Data!C148))</f>
        <v>Toys</v>
      </c>
      <c r="D148" s="2" t="str">
        <f aca="false">IF(ISNUMBER(SEARCH("north",Raw_Data!D148)),"WH-North",IF(ISNUMBER(SEARCH("south",Raw_Data!D148)),"WH-South",IF(ISNUMBER(SEARCH("east",Raw_Data!D148)),"WH-East",IF(ISNUMBER(SEARCH("west",Raw_Data!D148)),"WH-West","Unknown"))))</f>
        <v>WH-North</v>
      </c>
      <c r="E148" s="2" t="n">
        <f aca="false">IF(Raw_Data!E148&lt;0,0,Raw_Data!E148)</f>
        <v>208</v>
      </c>
      <c r="F148" s="2" t="str">
        <f aca="false">IF(Raw_Data!E148&lt;0,"Yes","No")</f>
        <v>No</v>
      </c>
      <c r="G148" s="2" t="n">
        <f aca="false">IF(Raw_Data!F148="",ROUND(AVERAGEIFS(Raw_Data!$F$2:$F$176,$C$2:$C$176,C148),2),Raw_Data!F148)</f>
        <v>1150.82</v>
      </c>
      <c r="H148" s="2" t="n">
        <f aca="false">Raw_Data!G148</f>
        <v>40</v>
      </c>
      <c r="I148" s="2" t="str">
        <f aca="false">IF(TRIM(Raw_Data!H148)="","Not Assigned",TRIM(Raw_Data!H148))</f>
        <v>Sharma Traders</v>
      </c>
      <c r="J148" s="3" t="n">
        <f aca="false">DATE(VALUE(MID(SUBSTITUTE(Raw_Data!I148,"/","-"),7,4)),VALUE(MID(SUBSTITUTE(Raw_Data!I148,"/","-"),4,2)),VALUE(LEFT(SUBSTITUTE(Raw_Data!I148,"/","-"),2)))</f>
        <v>45664</v>
      </c>
      <c r="K148" s="2" t="str">
        <f aca="false">IF(COUNTIF(Raw_Data!$A$2:A148,Raw_Data!A148)&gt;1,"Duplicate - Remove","Keep")</f>
        <v>Keep</v>
      </c>
      <c r="L148" s="2" t="str">
        <f aca="false">IF(E148&lt;H148,"Reorder Needed","OK")</f>
        <v>OK</v>
      </c>
    </row>
    <row r="149" customFormat="false" ht="15" hidden="false" customHeight="false" outlineLevel="0" collapsed="false">
      <c r="A149" s="2" t="str">
        <f aca="false">Raw_Data!A149</f>
        <v>SKU1104</v>
      </c>
      <c r="B149" s="2" t="str">
        <f aca="false">TRIM(PROPER(Raw_Data!B149))</f>
        <v>Cotton T-Shirt</v>
      </c>
      <c r="C149" s="2" t="str">
        <f aca="false">PROPER(TRIM(Raw_Data!C149))</f>
        <v>Apparel</v>
      </c>
      <c r="D149" s="2" t="str">
        <f aca="false">IF(ISNUMBER(SEARCH("north",Raw_Data!D149)),"WH-North",IF(ISNUMBER(SEARCH("south",Raw_Data!D149)),"WH-South",IF(ISNUMBER(SEARCH("east",Raw_Data!D149)),"WH-East",IF(ISNUMBER(SEARCH("west",Raw_Data!D149)),"WH-West","Unknown"))))</f>
        <v>WH-West</v>
      </c>
      <c r="E149" s="2" t="n">
        <f aca="false">IF(Raw_Data!E149&lt;0,0,Raw_Data!E149)</f>
        <v>46</v>
      </c>
      <c r="F149" s="2" t="str">
        <f aca="false">IF(Raw_Data!E149&lt;0,"Yes","No")</f>
        <v>No</v>
      </c>
      <c r="G149" s="2" t="n">
        <f aca="false">IF(Raw_Data!F149="",ROUND(AVERAGEIFS(Raw_Data!$F$2:$F$176,$C$2:$C$176,C149),2),Raw_Data!F149)</f>
        <v>635.92</v>
      </c>
      <c r="H149" s="2" t="n">
        <f aca="false">Raw_Data!G149</f>
        <v>14</v>
      </c>
      <c r="I149" s="2" t="str">
        <f aca="false">IF(TRIM(Raw_Data!H149)="","Not Assigned",TRIM(Raw_Data!H149))</f>
        <v>Metro Distributors</v>
      </c>
      <c r="J149" s="3" t="n">
        <f aca="false">DATE(VALUE(MID(SUBSTITUTE(Raw_Data!I149,"/","-"),7,4)),VALUE(MID(SUBSTITUTE(Raw_Data!I149,"/","-"),4,2)),VALUE(LEFT(SUBSTITUTE(Raw_Data!I149,"/","-"),2)))</f>
        <v>45817</v>
      </c>
      <c r="K149" s="2" t="str">
        <f aca="false">IF(COUNTIF(Raw_Data!$A$2:A149,Raw_Data!A149)&gt;1,"Duplicate - Remove","Keep")</f>
        <v>Keep</v>
      </c>
      <c r="L149" s="2" t="str">
        <f aca="false">IF(E149&lt;H149,"Reorder Needed","OK")</f>
        <v>OK</v>
      </c>
    </row>
    <row r="150" customFormat="false" ht="15" hidden="false" customHeight="false" outlineLevel="0" collapsed="false">
      <c r="A150" s="2" t="str">
        <f aca="false">Raw_Data!A150</f>
        <v>SKU1094</v>
      </c>
      <c r="B150" s="2" t="str">
        <f aca="false">TRIM(PROPER(Raw_Data!B150))</f>
        <v>Sports Sandals</v>
      </c>
      <c r="C150" s="2" t="str">
        <f aca="false">PROPER(TRIM(Raw_Data!C150))</f>
        <v>Footwear</v>
      </c>
      <c r="D150" s="2" t="str">
        <f aca="false">IF(ISNUMBER(SEARCH("north",Raw_Data!D150)),"WH-North",IF(ISNUMBER(SEARCH("south",Raw_Data!D150)),"WH-South",IF(ISNUMBER(SEARCH("east",Raw_Data!D150)),"WH-East",IF(ISNUMBER(SEARCH("west",Raw_Data!D150)),"WH-West","Unknown"))))</f>
        <v>WH-South</v>
      </c>
      <c r="E150" s="2" t="n">
        <f aca="false">IF(Raw_Data!E150&lt;0,0,Raw_Data!E150)</f>
        <v>139</v>
      </c>
      <c r="F150" s="2" t="str">
        <f aca="false">IF(Raw_Data!E150&lt;0,"Yes","No")</f>
        <v>No</v>
      </c>
      <c r="G150" s="2" t="n">
        <f aca="false">IF(Raw_Data!F150="",ROUND(AVERAGEIFS(Raw_Data!$F$2:$F$176,$C$2:$C$176,C150),2),Raw_Data!F150)</f>
        <v>3298.55</v>
      </c>
      <c r="H150" s="2" t="n">
        <f aca="false">Raw_Data!G150</f>
        <v>40</v>
      </c>
      <c r="I150" s="2" t="str">
        <f aca="false">IF(TRIM(Raw_Data!H150)="","Not Assigned",TRIM(Raw_Data!H150))</f>
        <v>Metro Distributors</v>
      </c>
      <c r="J150" s="3" t="n">
        <f aca="false">DATE(VALUE(MID(SUBSTITUTE(Raw_Data!I150,"/","-"),7,4)),VALUE(MID(SUBSTITUTE(Raw_Data!I150,"/","-"),4,2)),VALUE(LEFT(SUBSTITUTE(Raw_Data!I150,"/","-"),2)))</f>
        <v>45685</v>
      </c>
      <c r="K150" s="2" t="str">
        <f aca="false">IF(COUNTIF(Raw_Data!$A$2:A150,Raw_Data!A150)&gt;1,"Duplicate - Remove","Keep")</f>
        <v>Keep</v>
      </c>
      <c r="L150" s="2" t="str">
        <f aca="false">IF(E150&lt;H150,"Reorder Needed","OK")</f>
        <v>OK</v>
      </c>
    </row>
    <row r="151" customFormat="false" ht="15" hidden="false" customHeight="false" outlineLevel="0" collapsed="false">
      <c r="A151" s="2" t="str">
        <f aca="false">Raw_Data!A151</f>
        <v>SKU1068</v>
      </c>
      <c r="B151" s="2" t="str">
        <f aca="false">TRIM(PROPER(Raw_Data!B151))</f>
        <v>Folding Table</v>
      </c>
      <c r="C151" s="2" t="str">
        <f aca="false">PROPER(TRIM(Raw_Data!C151))</f>
        <v>Furniture</v>
      </c>
      <c r="D151" s="2" t="str">
        <f aca="false">IF(ISNUMBER(SEARCH("north",Raw_Data!D151)),"WH-North",IF(ISNUMBER(SEARCH("south",Raw_Data!D151)),"WH-South",IF(ISNUMBER(SEARCH("east",Raw_Data!D151)),"WH-East",IF(ISNUMBER(SEARCH("west",Raw_Data!D151)),"WH-West","Unknown"))))</f>
        <v>WH-West</v>
      </c>
      <c r="E151" s="2" t="n">
        <f aca="false">IF(Raw_Data!E151&lt;0,0,Raw_Data!E151)</f>
        <v>237</v>
      </c>
      <c r="F151" s="2" t="str">
        <f aca="false">IF(Raw_Data!E151&lt;0,"Yes","No")</f>
        <v>No</v>
      </c>
      <c r="G151" s="2" t="n">
        <f aca="false">IF(Raw_Data!F151="",ROUND(AVERAGEIFS(Raw_Data!$F$2:$F$176,$C$2:$C$176,C151),2),Raw_Data!F151)</f>
        <v>972.02</v>
      </c>
      <c r="H151" s="2" t="n">
        <f aca="false">Raw_Data!G151</f>
        <v>18</v>
      </c>
      <c r="I151" s="2" t="str">
        <f aca="false">IF(TRIM(Raw_Data!H151)="","Not Assigned",TRIM(Raw_Data!H151))</f>
        <v>Prime Vendors</v>
      </c>
      <c r="J151" s="3" t="n">
        <f aca="false">DATE(VALUE(MID(SUBSTITUTE(Raw_Data!I151,"/","-"),7,4)),VALUE(MID(SUBSTITUTE(Raw_Data!I151,"/","-"),4,2)),VALUE(LEFT(SUBSTITUTE(Raw_Data!I151,"/","-"),2)))</f>
        <v>45808</v>
      </c>
      <c r="K151" s="2" t="str">
        <f aca="false">IF(COUNTIF(Raw_Data!$A$2:A151,Raw_Data!A151)&gt;1,"Duplicate - Remove","Keep")</f>
        <v>Keep</v>
      </c>
      <c r="L151" s="2" t="str">
        <f aca="false">IF(E151&lt;H151,"Reorder Needed","OK")</f>
        <v>OK</v>
      </c>
    </row>
    <row r="152" customFormat="false" ht="15" hidden="false" customHeight="false" outlineLevel="0" collapsed="false">
      <c r="A152" s="2" t="str">
        <f aca="false">Raw_Data!A152</f>
        <v>SKU1035</v>
      </c>
      <c r="B152" s="2" t="str">
        <f aca="false">TRIM(PROPER(Raw_Data!B152))</f>
        <v>Whiteboard Marker</v>
      </c>
      <c r="C152" s="2" t="str">
        <f aca="false">PROPER(TRIM(Raw_Data!C152))</f>
        <v>Stationery</v>
      </c>
      <c r="D152" s="2" t="str">
        <f aca="false">IF(ISNUMBER(SEARCH("north",Raw_Data!D152)),"WH-North",IF(ISNUMBER(SEARCH("south",Raw_Data!D152)),"WH-South",IF(ISNUMBER(SEARCH("east",Raw_Data!D152)),"WH-East",IF(ISNUMBER(SEARCH("west",Raw_Data!D152)),"WH-West","Unknown"))))</f>
        <v>WH-East</v>
      </c>
      <c r="E152" s="2" t="n">
        <f aca="false">IF(Raw_Data!E152&lt;0,0,Raw_Data!E152)</f>
        <v>140</v>
      </c>
      <c r="F152" s="2" t="str">
        <f aca="false">IF(Raw_Data!E152&lt;0,"Yes","No")</f>
        <v>No</v>
      </c>
      <c r="G152" s="2" t="n">
        <f aca="false">IF(Raw_Data!F152="",ROUND(AVERAGEIFS(Raw_Data!$F$2:$F$176,$C$2:$C$176,C152),2),Raw_Data!F152)</f>
        <v>2406.46</v>
      </c>
      <c r="H152" s="2" t="n">
        <f aca="false">Raw_Data!G152</f>
        <v>21</v>
      </c>
      <c r="I152" s="2" t="str">
        <f aca="false">IF(TRIM(Raw_Data!H152)="","Not Assigned",TRIM(Raw_Data!H152))</f>
        <v>Prime Vendors</v>
      </c>
      <c r="J152" s="3" t="n">
        <f aca="false">DATE(VALUE(MID(SUBSTITUTE(Raw_Data!I152,"/","-"),7,4)),VALUE(MID(SUBSTITUTE(Raw_Data!I152,"/","-"),4,2)),VALUE(LEFT(SUBSTITUTE(Raw_Data!I152,"/","-"),2)))</f>
        <v>45859</v>
      </c>
      <c r="K152" s="2" t="str">
        <f aca="false">IF(COUNTIF(Raw_Data!$A$2:A152,Raw_Data!A152)&gt;1,"Duplicate - Remove","Keep")</f>
        <v>Keep</v>
      </c>
      <c r="L152" s="2" t="str">
        <f aca="false">IF(E152&lt;H152,"Reorder Needed","OK")</f>
        <v>OK</v>
      </c>
    </row>
    <row r="153" customFormat="false" ht="15" hidden="false" customHeight="false" outlineLevel="0" collapsed="false">
      <c r="A153" s="2" t="str">
        <f aca="false">Raw_Data!A153</f>
        <v>SKU1111</v>
      </c>
      <c r="B153" s="2" t="str">
        <f aca="false">TRIM(PROPER(Raw_Data!B153))</f>
        <v>Formal Shirt</v>
      </c>
      <c r="C153" s="2" t="str">
        <f aca="false">PROPER(TRIM(Raw_Data!C153))</f>
        <v>Apparel</v>
      </c>
      <c r="D153" s="2" t="str">
        <f aca="false">IF(ISNUMBER(SEARCH("north",Raw_Data!D153)),"WH-North",IF(ISNUMBER(SEARCH("south",Raw_Data!D153)),"WH-South",IF(ISNUMBER(SEARCH("east",Raw_Data!D153)),"WH-East",IF(ISNUMBER(SEARCH("west",Raw_Data!D153)),"WH-West","Unknown"))))</f>
        <v>WH-East</v>
      </c>
      <c r="E153" s="2" t="n">
        <f aca="false">IF(Raw_Data!E153&lt;0,0,Raw_Data!E153)</f>
        <v>178</v>
      </c>
      <c r="F153" s="2" t="str">
        <f aca="false">IF(Raw_Data!E153&lt;0,"Yes","No")</f>
        <v>No</v>
      </c>
      <c r="G153" s="2" t="n">
        <f aca="false">IF(Raw_Data!F153="",ROUND(AVERAGEIFS(Raw_Data!$F$2:$F$176,$C$2:$C$176,C153),2),Raw_Data!F153)</f>
        <v>766.55</v>
      </c>
      <c r="H153" s="2" t="n">
        <f aca="false">Raw_Data!G153</f>
        <v>14</v>
      </c>
      <c r="I153" s="2" t="str">
        <f aca="false">IF(TRIM(Raw_Data!H153)="","Not Assigned",TRIM(Raw_Data!H153))</f>
        <v>Nova Wholesale</v>
      </c>
      <c r="J153" s="3" t="n">
        <f aca="false">DATE(VALUE(MID(SUBSTITUTE(Raw_Data!I153,"/","-"),7,4)),VALUE(MID(SUBSTITUTE(Raw_Data!I153,"/","-"),4,2)),VALUE(LEFT(SUBSTITUTE(Raw_Data!I153,"/","-"),2)))</f>
        <v>45826</v>
      </c>
      <c r="K153" s="2" t="str">
        <f aca="false">IF(COUNTIF(Raw_Data!$A$2:A153,Raw_Data!A153)&gt;1,"Duplicate - Remove","Keep")</f>
        <v>Keep</v>
      </c>
      <c r="L153" s="2" t="str">
        <f aca="false">IF(E153&lt;H153,"Reorder Needed","OK")</f>
        <v>OK</v>
      </c>
    </row>
    <row r="154" customFormat="false" ht="15" hidden="false" customHeight="false" outlineLevel="0" collapsed="false">
      <c r="A154" s="2" t="str">
        <f aca="false">Raw_Data!A154</f>
        <v>SKU1028</v>
      </c>
      <c r="B154" s="2" t="str">
        <f aca="false">TRIM(PROPER(Raw_Data!B154))</f>
        <v>A4 Notebook 200Pg</v>
      </c>
      <c r="C154" s="2" t="str">
        <f aca="false">PROPER(TRIM(Raw_Data!C154))</f>
        <v>Stationery</v>
      </c>
      <c r="D154" s="2" t="str">
        <f aca="false">IF(ISNUMBER(SEARCH("north",Raw_Data!D154)),"WH-North",IF(ISNUMBER(SEARCH("south",Raw_Data!D154)),"WH-South",IF(ISNUMBER(SEARCH("east",Raw_Data!D154)),"WH-East",IF(ISNUMBER(SEARCH("west",Raw_Data!D154)),"WH-West","Unknown"))))</f>
        <v>WH-West</v>
      </c>
      <c r="E154" s="2" t="n">
        <f aca="false">IF(Raw_Data!E154&lt;0,0,Raw_Data!E154)</f>
        <v>255</v>
      </c>
      <c r="F154" s="2" t="str">
        <f aca="false">IF(Raw_Data!E154&lt;0,"Yes","No")</f>
        <v>No</v>
      </c>
      <c r="G154" s="2" t="n">
        <f aca="false">IF(Raw_Data!F154="",ROUND(AVERAGEIFS(Raw_Data!$F$2:$F$176,$C$2:$C$176,C154),2),Raw_Data!F154)</f>
        <v>3637.23</v>
      </c>
      <c r="H154" s="2" t="n">
        <f aca="false">Raw_Data!G154</f>
        <v>11</v>
      </c>
      <c r="I154" s="2" t="str">
        <f aca="false">IF(TRIM(Raw_Data!H154)="","Not Assigned",TRIM(Raw_Data!H154))</f>
        <v>Sharma Traders</v>
      </c>
      <c r="J154" s="3" t="n">
        <f aca="false">DATE(VALUE(MID(SUBSTITUTE(Raw_Data!I154,"/","-"),7,4)),VALUE(MID(SUBSTITUTE(Raw_Data!I154,"/","-"),4,2)),VALUE(LEFT(SUBSTITUTE(Raw_Data!I154,"/","-"),2)))</f>
        <v>45820</v>
      </c>
      <c r="K154" s="2" t="str">
        <f aca="false">IF(COUNTIF(Raw_Data!$A$2:A154,Raw_Data!A154)&gt;1,"Duplicate - Remove","Keep")</f>
        <v>Keep</v>
      </c>
      <c r="L154" s="2" t="str">
        <f aca="false">IF(E154&lt;H154,"Reorder Needed","OK")</f>
        <v>OK</v>
      </c>
    </row>
    <row r="155" customFormat="false" ht="15" hidden="false" customHeight="false" outlineLevel="0" collapsed="false">
      <c r="A155" s="2" t="str">
        <f aca="false">Raw_Data!A155</f>
        <v>SKU1003</v>
      </c>
      <c r="B155" s="2" t="str">
        <f aca="false">TRIM(PROPER(Raw_Data!B155))</f>
        <v>Led Bulb 9W</v>
      </c>
      <c r="C155" s="2" t="str">
        <f aca="false">PROPER(TRIM(Raw_Data!C155))</f>
        <v>Electronics</v>
      </c>
      <c r="D155" s="2" t="str">
        <f aca="false">IF(ISNUMBER(SEARCH("north",Raw_Data!D155)),"WH-North",IF(ISNUMBER(SEARCH("south",Raw_Data!D155)),"WH-South",IF(ISNUMBER(SEARCH("east",Raw_Data!D155)),"WH-East",IF(ISNUMBER(SEARCH("west",Raw_Data!D155)),"WH-West","Unknown"))))</f>
        <v>WH-East</v>
      </c>
      <c r="E155" s="2" t="n">
        <f aca="false">IF(Raw_Data!E155&lt;0,0,Raw_Data!E155)</f>
        <v>221</v>
      </c>
      <c r="F155" s="2" t="str">
        <f aca="false">IF(Raw_Data!E155&lt;0,"Yes","No")</f>
        <v>No</v>
      </c>
      <c r="G155" s="2" t="n">
        <f aca="false">IF(Raw_Data!F155="",ROUND(AVERAGEIFS(Raw_Data!$F$2:$F$176,$C$2:$C$176,C155),2),Raw_Data!F155)</f>
        <v>664.14</v>
      </c>
      <c r="H155" s="2" t="n">
        <f aca="false">Raw_Data!G155</f>
        <v>40</v>
      </c>
      <c r="I155" s="2" t="str">
        <f aca="false">IF(TRIM(Raw_Data!H155)="","Not Assigned",TRIM(Raw_Data!H155))</f>
        <v>Metro Distributors</v>
      </c>
      <c r="J155" s="3" t="n">
        <f aca="false">DATE(VALUE(MID(SUBSTITUTE(Raw_Data!I155,"/","-"),7,4)),VALUE(MID(SUBSTITUTE(Raw_Data!I155,"/","-"),4,2)),VALUE(LEFT(SUBSTITUTE(Raw_Data!I155,"/","-"),2)))</f>
        <v>45684</v>
      </c>
      <c r="K155" s="2" t="str">
        <f aca="false">IF(COUNTIF(Raw_Data!$A$2:A155,Raw_Data!A155)&gt;1,"Duplicate - Remove","Keep")</f>
        <v>Keep</v>
      </c>
      <c r="L155" s="2" t="str">
        <f aca="false">IF(E155&lt;H155,"Reorder Needed","OK")</f>
        <v>OK</v>
      </c>
    </row>
    <row r="156" customFormat="false" ht="15" hidden="false" customHeight="false" outlineLevel="0" collapsed="false">
      <c r="A156" s="2" t="str">
        <f aca="false">Raw_Data!A156</f>
        <v>SKU1138</v>
      </c>
      <c r="B156" s="2" t="str">
        <f aca="false">TRIM(PROPER(Raw_Data!B156))</f>
        <v>Cutlery Set</v>
      </c>
      <c r="C156" s="2" t="str">
        <f aca="false">PROPER(TRIM(Raw_Data!C156))</f>
        <v>Kitchenware</v>
      </c>
      <c r="D156" s="2" t="str">
        <f aca="false">IF(ISNUMBER(SEARCH("north",Raw_Data!D156)),"WH-North",IF(ISNUMBER(SEARCH("south",Raw_Data!D156)),"WH-South",IF(ISNUMBER(SEARCH("east",Raw_Data!D156)),"WH-East",IF(ISNUMBER(SEARCH("west",Raw_Data!D156)),"WH-West","Unknown"))))</f>
        <v>WH-South</v>
      </c>
      <c r="E156" s="2" t="n">
        <f aca="false">IF(Raw_Data!E156&lt;0,0,Raw_Data!E156)</f>
        <v>239</v>
      </c>
      <c r="F156" s="2" t="str">
        <f aca="false">IF(Raw_Data!E156&lt;0,"Yes","No")</f>
        <v>No</v>
      </c>
      <c r="G156" s="2" t="n">
        <f aca="false">IF(Raw_Data!F156="",ROUND(AVERAGEIFS(Raw_Data!$F$2:$F$176,$C$2:$C$176,C156),2),Raw_Data!F156)</f>
        <v>3354.92</v>
      </c>
      <c r="H156" s="2" t="n">
        <f aca="false">Raw_Data!G156</f>
        <v>25</v>
      </c>
      <c r="I156" s="2" t="str">
        <f aca="false">IF(TRIM(Raw_Data!H156)="","Not Assigned",TRIM(Raw_Data!H156))</f>
        <v>Not Assigned</v>
      </c>
      <c r="J156" s="3" t="n">
        <f aca="false">DATE(VALUE(MID(SUBSTITUTE(Raw_Data!I156,"/","-"),7,4)),VALUE(MID(SUBSTITUTE(Raw_Data!I156,"/","-"),4,2)),VALUE(LEFT(SUBSTITUTE(Raw_Data!I156,"/","-"),2)))</f>
        <v>45795</v>
      </c>
      <c r="K156" s="2" t="str">
        <f aca="false">IF(COUNTIF(Raw_Data!$A$2:A156,Raw_Data!A156)&gt;1,"Duplicate - Remove","Keep")</f>
        <v>Keep</v>
      </c>
      <c r="L156" s="2" t="str">
        <f aca="false">IF(E156&lt;H156,"Reorder Needed","OK")</f>
        <v>OK</v>
      </c>
    </row>
    <row r="157" customFormat="false" ht="15" hidden="false" customHeight="false" outlineLevel="0" collapsed="false">
      <c r="A157" s="2" t="str">
        <f aca="false">Raw_Data!A157</f>
        <v>SKU1074</v>
      </c>
      <c r="B157" s="2" t="str">
        <f aca="false">TRIM(PROPER(Raw_Data!B157))</f>
        <v>Study Table</v>
      </c>
      <c r="C157" s="2" t="str">
        <f aca="false">PROPER(TRIM(Raw_Data!C157))</f>
        <v>Furniture</v>
      </c>
      <c r="D157" s="2" t="str">
        <f aca="false">IF(ISNUMBER(SEARCH("north",Raw_Data!D157)),"WH-North",IF(ISNUMBER(SEARCH("south",Raw_Data!D157)),"WH-South",IF(ISNUMBER(SEARCH("east",Raw_Data!D157)),"WH-East",IF(ISNUMBER(SEARCH("west",Raw_Data!D157)),"WH-West","Unknown"))))</f>
        <v>WH-South</v>
      </c>
      <c r="E157" s="2" t="n">
        <f aca="false">IF(Raw_Data!E157&lt;0,0,Raw_Data!E157)</f>
        <v>211</v>
      </c>
      <c r="F157" s="2" t="str">
        <f aca="false">IF(Raw_Data!E157&lt;0,"Yes","No")</f>
        <v>No</v>
      </c>
      <c r="G157" s="2" t="n">
        <f aca="false">IF(Raw_Data!F157="",ROUND(AVERAGEIFS(Raw_Data!$F$2:$F$176,$C$2:$C$176,C157),2),Raw_Data!F157)</f>
        <v>3308.46</v>
      </c>
      <c r="H157" s="2" t="n">
        <f aca="false">Raw_Data!G157</f>
        <v>10</v>
      </c>
      <c r="I157" s="2" t="str">
        <f aca="false">IF(TRIM(Raw_Data!H157)="","Not Assigned",TRIM(Raw_Data!H157))</f>
        <v>Prime Vendors</v>
      </c>
      <c r="J157" s="3" t="n">
        <f aca="false">DATE(VALUE(MID(SUBSTITUTE(Raw_Data!I157,"/","-"),7,4)),VALUE(MID(SUBSTITUTE(Raw_Data!I157,"/","-"),4,2)),VALUE(LEFT(SUBSTITUTE(Raw_Data!I157,"/","-"),2)))</f>
        <v>45880</v>
      </c>
      <c r="K157" s="2" t="str">
        <f aca="false">IF(COUNTIF(Raw_Data!$A$2:A157,Raw_Data!A157)&gt;1,"Duplicate - Remove","Keep")</f>
        <v>Keep</v>
      </c>
      <c r="L157" s="2" t="str">
        <f aca="false">IF(E157&lt;H157,"Reorder Needed","OK")</f>
        <v>OK</v>
      </c>
    </row>
    <row r="158" customFormat="false" ht="15" hidden="false" customHeight="false" outlineLevel="0" collapsed="false">
      <c r="A158" s="2" t="str">
        <f aca="false">Raw_Data!A158</f>
        <v>SKU1121</v>
      </c>
      <c r="B158" s="2" t="str">
        <f aca="false">TRIM(PROPER(Raw_Data!B158))</f>
        <v>Non-Stick Pan</v>
      </c>
      <c r="C158" s="2" t="str">
        <f aca="false">PROPER(TRIM(Raw_Data!C158))</f>
        <v>Kitchenware</v>
      </c>
      <c r="D158" s="2" t="str">
        <f aca="false">IF(ISNUMBER(SEARCH("north",Raw_Data!D158)),"WH-North",IF(ISNUMBER(SEARCH("south",Raw_Data!D158)),"WH-South",IF(ISNUMBER(SEARCH("east",Raw_Data!D158)),"WH-East",IF(ISNUMBER(SEARCH("west",Raw_Data!D158)),"WH-West","Unknown"))))</f>
        <v>WH-North</v>
      </c>
      <c r="E158" s="2" t="n">
        <f aca="false">IF(Raw_Data!E158&lt;0,0,Raw_Data!E158)</f>
        <v>293</v>
      </c>
      <c r="F158" s="2" t="str">
        <f aca="false">IF(Raw_Data!E158&lt;0,"Yes","No")</f>
        <v>No</v>
      </c>
      <c r="G158" s="2" t="n">
        <f aca="false">IF(Raw_Data!F158="",ROUND(AVERAGEIFS(Raw_Data!$F$2:$F$176,$C$2:$C$176,C158),2),Raw_Data!F158)</f>
        <v>1823.18</v>
      </c>
      <c r="H158" s="2" t="n">
        <f aca="false">Raw_Data!G158</f>
        <v>39</v>
      </c>
      <c r="I158" s="2" t="str">
        <f aca="false">IF(TRIM(Raw_Data!H158)="","Not Assigned",TRIM(Raw_Data!H158))</f>
        <v>Not Assigned</v>
      </c>
      <c r="J158" s="3" t="n">
        <f aca="false">DATE(VALUE(MID(SUBSTITUTE(Raw_Data!I158,"/","-"),7,4)),VALUE(MID(SUBSTITUTE(Raw_Data!I158,"/","-"),4,2)),VALUE(LEFT(SUBSTITUTE(Raw_Data!I158,"/","-"),2)))</f>
        <v>45822</v>
      </c>
      <c r="K158" s="2" t="str">
        <f aca="false">IF(COUNTIF(Raw_Data!$A$2:A158,Raw_Data!A158)&gt;1,"Duplicate - Remove","Keep")</f>
        <v>Keep</v>
      </c>
      <c r="L158" s="2" t="str">
        <f aca="false">IF(E158&lt;H158,"Reorder Needed","OK")</f>
        <v>OK</v>
      </c>
    </row>
    <row r="159" customFormat="false" ht="15" hidden="false" customHeight="false" outlineLevel="0" collapsed="false">
      <c r="A159" s="2" t="str">
        <f aca="false">Raw_Data!A159</f>
        <v>SKU1153</v>
      </c>
      <c r="B159" s="2" t="str">
        <f aca="false">TRIM(PROPER(Raw_Data!B159))</f>
        <v>Soft Toy Bear</v>
      </c>
      <c r="C159" s="2" t="str">
        <f aca="false">PROPER(TRIM(Raw_Data!C159))</f>
        <v>Toys</v>
      </c>
      <c r="D159" s="2" t="str">
        <f aca="false">IF(ISNUMBER(SEARCH("north",Raw_Data!D159)),"WH-North",IF(ISNUMBER(SEARCH("south",Raw_Data!D159)),"WH-South",IF(ISNUMBER(SEARCH("east",Raw_Data!D159)),"WH-East",IF(ISNUMBER(SEARCH("west",Raw_Data!D159)),"WH-West","Unknown"))))</f>
        <v>WH-North</v>
      </c>
      <c r="E159" s="2" t="n">
        <f aca="false">IF(Raw_Data!E159&lt;0,0,Raw_Data!E159)</f>
        <v>287</v>
      </c>
      <c r="F159" s="2" t="str">
        <f aca="false">IF(Raw_Data!E159&lt;0,"Yes","No")</f>
        <v>No</v>
      </c>
      <c r="G159" s="2" t="n">
        <f aca="false">IF(Raw_Data!F159="",ROUND(AVERAGEIFS(Raw_Data!$F$2:$F$176,$C$2:$C$176,C159),2),Raw_Data!F159)</f>
        <v>3542.77</v>
      </c>
      <c r="H159" s="2" t="n">
        <f aca="false">Raw_Data!G159</f>
        <v>12</v>
      </c>
      <c r="I159" s="2" t="str">
        <f aca="false">IF(TRIM(Raw_Data!H159)="","Not Assigned",TRIM(Raw_Data!H159))</f>
        <v>Metro Distributors</v>
      </c>
      <c r="J159" s="3" t="n">
        <f aca="false">DATE(VALUE(MID(SUBSTITUTE(Raw_Data!I159,"/","-"),7,4)),VALUE(MID(SUBSTITUTE(Raw_Data!I159,"/","-"),4,2)),VALUE(LEFT(SUBSTITUTE(Raw_Data!I159,"/","-"),2)))</f>
        <v>45759</v>
      </c>
      <c r="K159" s="2" t="str">
        <f aca="false">IF(COUNTIF(Raw_Data!$A$2:A159,Raw_Data!A159)&gt;1,"Duplicate - Remove","Keep")</f>
        <v>Keep</v>
      </c>
      <c r="L159" s="2" t="str">
        <f aca="false">IF(E159&lt;H159,"Reorder Needed","OK")</f>
        <v>OK</v>
      </c>
    </row>
    <row r="160" customFormat="false" ht="15" hidden="false" customHeight="false" outlineLevel="0" collapsed="false">
      <c r="A160" s="2" t="str">
        <f aca="false">Raw_Data!A160</f>
        <v>SKU1127</v>
      </c>
      <c r="B160" s="2" t="str">
        <f aca="false">TRIM(PROPER(Raw_Data!B160))</f>
        <v>Steel Tiffin Box</v>
      </c>
      <c r="C160" s="2" t="str">
        <f aca="false">PROPER(TRIM(Raw_Data!C160))</f>
        <v>Kitchenware</v>
      </c>
      <c r="D160" s="2" t="str">
        <f aca="false">IF(ISNUMBER(SEARCH("north",Raw_Data!D160)),"WH-North",IF(ISNUMBER(SEARCH("south",Raw_Data!D160)),"WH-South",IF(ISNUMBER(SEARCH("east",Raw_Data!D160)),"WH-East",IF(ISNUMBER(SEARCH("west",Raw_Data!D160)),"WH-West","Unknown"))))</f>
        <v>WH-East</v>
      </c>
      <c r="E160" s="2" t="n">
        <f aca="false">IF(Raw_Data!E160&lt;0,0,Raw_Data!E160)</f>
        <v>163</v>
      </c>
      <c r="F160" s="2" t="str">
        <f aca="false">IF(Raw_Data!E160&lt;0,"Yes","No")</f>
        <v>No</v>
      </c>
      <c r="G160" s="2" t="n">
        <f aca="false">IF(Raw_Data!F160="",ROUND(AVERAGEIFS(Raw_Data!$F$2:$F$176,$C$2:$C$176,C160),2),Raw_Data!F160)</f>
        <v>2809</v>
      </c>
      <c r="H160" s="2" t="n">
        <f aca="false">Raw_Data!G160</f>
        <v>22</v>
      </c>
      <c r="I160" s="2" t="str">
        <f aca="false">IF(TRIM(Raw_Data!H160)="","Not Assigned",TRIM(Raw_Data!H160))</f>
        <v>Global Supply Co</v>
      </c>
      <c r="J160" s="3" t="n">
        <f aca="false">DATE(VALUE(MID(SUBSTITUTE(Raw_Data!I160,"/","-"),7,4)),VALUE(MID(SUBSTITUTE(Raw_Data!I160,"/","-"),4,2)),VALUE(LEFT(SUBSTITUTE(Raw_Data!I160,"/","-"),2)))</f>
        <v>45810</v>
      </c>
      <c r="K160" s="2" t="str">
        <f aca="false">IF(COUNTIF(Raw_Data!$A$2:A160,Raw_Data!A160)&gt;1,"Duplicate - Remove","Keep")</f>
        <v>Keep</v>
      </c>
      <c r="L160" s="2" t="str">
        <f aca="false">IF(E160&lt;H160,"Reorder Needed","OK")</f>
        <v>OK</v>
      </c>
    </row>
    <row r="161" customFormat="false" ht="15" hidden="false" customHeight="false" outlineLevel="0" collapsed="false">
      <c r="A161" s="2" t="str">
        <f aca="false">Raw_Data!A161</f>
        <v>SKU1073</v>
      </c>
      <c r="B161" s="2" t="str">
        <f aca="false">TRIM(PROPER(Raw_Data!B161))</f>
        <v>Study Table</v>
      </c>
      <c r="C161" s="2" t="str">
        <f aca="false">PROPER(TRIM(Raw_Data!C161))</f>
        <v>Furniture</v>
      </c>
      <c r="D161" s="2" t="str">
        <f aca="false">IF(ISNUMBER(SEARCH("north",Raw_Data!D161)),"WH-North",IF(ISNUMBER(SEARCH("south",Raw_Data!D161)),"WH-South",IF(ISNUMBER(SEARCH("east",Raw_Data!D161)),"WH-East",IF(ISNUMBER(SEARCH("west",Raw_Data!D161)),"WH-West","Unknown"))))</f>
        <v>WH-North</v>
      </c>
      <c r="E161" s="2" t="n">
        <f aca="false">IF(Raw_Data!E161&lt;0,0,Raw_Data!E161)</f>
        <v>173</v>
      </c>
      <c r="F161" s="2" t="str">
        <f aca="false">IF(Raw_Data!E161&lt;0,"Yes","No")</f>
        <v>No</v>
      </c>
      <c r="G161" s="2" t="n">
        <f aca="false">IF(Raw_Data!F161="",ROUND(AVERAGEIFS(Raw_Data!$F$2:$F$176,$C$2:$C$176,C161),2),Raw_Data!F161)</f>
        <v>2007.1</v>
      </c>
      <c r="H161" s="2" t="n">
        <f aca="false">Raw_Data!G161</f>
        <v>31</v>
      </c>
      <c r="I161" s="2" t="str">
        <f aca="false">IF(TRIM(Raw_Data!H161)="","Not Assigned",TRIM(Raw_Data!H161))</f>
        <v>Fine Goods Pvt Ltd</v>
      </c>
      <c r="J161" s="3" t="n">
        <f aca="false">DATE(VALUE(MID(SUBSTITUTE(Raw_Data!I161,"/","-"),7,4)),VALUE(MID(SUBSTITUTE(Raw_Data!I161,"/","-"),4,2)),VALUE(LEFT(SUBSTITUTE(Raw_Data!I161,"/","-"),2)))</f>
        <v>45866</v>
      </c>
      <c r="K161" s="2" t="str">
        <f aca="false">IF(COUNTIF(Raw_Data!$A$2:A161,Raw_Data!A161)&gt;1,"Duplicate - Remove","Keep")</f>
        <v>Keep</v>
      </c>
      <c r="L161" s="2" t="str">
        <f aca="false">IF(E161&lt;H161,"Reorder Needed","OK")</f>
        <v>OK</v>
      </c>
    </row>
    <row r="162" customFormat="false" ht="15" hidden="false" customHeight="false" outlineLevel="0" collapsed="false">
      <c r="A162" s="2" t="str">
        <f aca="false">Raw_Data!A162</f>
        <v>SKU1025</v>
      </c>
      <c r="B162" s="2" t="str">
        <f aca="false">TRIM(PROPER(Raw_Data!B162))</f>
        <v>A4 Notebook 200Pg</v>
      </c>
      <c r="C162" s="2" t="str">
        <f aca="false">PROPER(TRIM(Raw_Data!C162))</f>
        <v>Stationery</v>
      </c>
      <c r="D162" s="2" t="str">
        <f aca="false">IF(ISNUMBER(SEARCH("north",Raw_Data!D162)),"WH-North",IF(ISNUMBER(SEARCH("south",Raw_Data!D162)),"WH-South",IF(ISNUMBER(SEARCH("east",Raw_Data!D162)),"WH-East",IF(ISNUMBER(SEARCH("west",Raw_Data!D162)),"WH-West","Unknown"))))</f>
        <v>WH-North</v>
      </c>
      <c r="E162" s="2" t="n">
        <f aca="false">IF(Raw_Data!E162&lt;0,0,Raw_Data!E162)</f>
        <v>239</v>
      </c>
      <c r="F162" s="2" t="str">
        <f aca="false">IF(Raw_Data!E162&lt;0,"Yes","No")</f>
        <v>No</v>
      </c>
      <c r="G162" s="2" t="n">
        <f aca="false">IF(Raw_Data!F162="",ROUND(AVERAGEIFS(Raw_Data!$F$2:$F$176,$C$2:$C$176,C162),2),Raw_Data!F162)</f>
        <v>2273.82</v>
      </c>
      <c r="H162" s="2" t="n">
        <f aca="false">Raw_Data!G162</f>
        <v>13</v>
      </c>
      <c r="I162" s="2" t="str">
        <f aca="false">IF(TRIM(Raw_Data!H162)="","Not Assigned",TRIM(Raw_Data!H162))</f>
        <v>Sharma Traders</v>
      </c>
      <c r="J162" s="3" t="n">
        <f aca="false">DATE(VALUE(MID(SUBSTITUTE(Raw_Data!I162,"/","-"),7,4)),VALUE(MID(SUBSTITUTE(Raw_Data!I162,"/","-"),4,2)),VALUE(LEFT(SUBSTITUTE(Raw_Data!I162,"/","-"),2)))</f>
        <v>45795</v>
      </c>
      <c r="K162" s="2" t="str">
        <f aca="false">IF(COUNTIF(Raw_Data!$A$2:A162,Raw_Data!A162)&gt;1,"Duplicate - Remove","Keep")</f>
        <v>Duplicate - Remove</v>
      </c>
      <c r="L162" s="2" t="str">
        <f aca="false">IF(E162&lt;H162,"Reorder Needed","OK")</f>
        <v>OK</v>
      </c>
    </row>
    <row r="163" customFormat="false" ht="15" hidden="false" customHeight="false" outlineLevel="0" collapsed="false">
      <c r="A163" s="2" t="str">
        <f aca="false">Raw_Data!A163</f>
        <v>SKU1013</v>
      </c>
      <c r="B163" s="2" t="str">
        <f aca="false">TRIM(PROPER(Raw_Data!B163))</f>
        <v>Power Bank 10000Mah</v>
      </c>
      <c r="C163" s="2" t="str">
        <f aca="false">PROPER(TRIM(Raw_Data!C163))</f>
        <v>Electronics</v>
      </c>
      <c r="D163" s="2" t="str">
        <f aca="false">IF(ISNUMBER(SEARCH("north",Raw_Data!D163)),"WH-North",IF(ISNUMBER(SEARCH("south",Raw_Data!D163)),"WH-South",IF(ISNUMBER(SEARCH("east",Raw_Data!D163)),"WH-East",IF(ISNUMBER(SEARCH("west",Raw_Data!D163)),"WH-West","Unknown"))))</f>
        <v>WH-North</v>
      </c>
      <c r="E163" s="2" t="n">
        <f aca="false">IF(Raw_Data!E163&lt;0,0,Raw_Data!E163)</f>
        <v>162</v>
      </c>
      <c r="F163" s="2" t="str">
        <f aca="false">IF(Raw_Data!E163&lt;0,"Yes","No")</f>
        <v>No</v>
      </c>
      <c r="G163" s="2" t="n">
        <f aca="false">IF(Raw_Data!F163="",ROUND(AVERAGEIFS(Raw_Data!$F$2:$F$176,$C$2:$C$176,C163),2),Raw_Data!F163)</f>
        <v>1001.44</v>
      </c>
      <c r="H163" s="2" t="n">
        <f aca="false">Raw_Data!G163</f>
        <v>28</v>
      </c>
      <c r="I163" s="2" t="str">
        <f aca="false">IF(TRIM(Raw_Data!H163)="","Not Assigned",TRIM(Raw_Data!H163))</f>
        <v>Sharma Traders</v>
      </c>
      <c r="J163" s="3" t="n">
        <f aca="false">DATE(VALUE(MID(SUBSTITUTE(Raw_Data!I163,"/","-"),7,4)),VALUE(MID(SUBSTITUTE(Raw_Data!I163,"/","-"),4,2)),VALUE(LEFT(SUBSTITUTE(Raw_Data!I163,"/","-"),2)))</f>
        <v>45679</v>
      </c>
      <c r="K163" s="2" t="str">
        <f aca="false">IF(COUNTIF(Raw_Data!$A$2:A163,Raw_Data!A163)&gt;1,"Duplicate - Remove","Keep")</f>
        <v>Duplicate - Remove</v>
      </c>
      <c r="L163" s="2" t="str">
        <f aca="false">IF(E163&lt;H163,"Reorder Needed","OK")</f>
        <v>OK</v>
      </c>
    </row>
    <row r="164" customFormat="false" ht="15" hidden="false" customHeight="false" outlineLevel="0" collapsed="false">
      <c r="A164" s="2" t="str">
        <f aca="false">Raw_Data!A164</f>
        <v>SKU1091</v>
      </c>
      <c r="B164" s="2" t="str">
        <f aca="false">TRIM(PROPER(Raw_Data!B164))</f>
        <v>Formal Shoes Men</v>
      </c>
      <c r="C164" s="2" t="str">
        <f aca="false">PROPER(TRIM(Raw_Data!C164))</f>
        <v>Footwear</v>
      </c>
      <c r="D164" s="2" t="str">
        <f aca="false">IF(ISNUMBER(SEARCH("north",Raw_Data!D164)),"WH-North",IF(ISNUMBER(SEARCH("south",Raw_Data!D164)),"WH-South",IF(ISNUMBER(SEARCH("east",Raw_Data!D164)),"WH-East",IF(ISNUMBER(SEARCH("west",Raw_Data!D164)),"WH-West","Unknown"))))</f>
        <v>WH-East</v>
      </c>
      <c r="E164" s="2" t="n">
        <f aca="false">IF(Raw_Data!E164&lt;0,0,Raw_Data!E164)</f>
        <v>72</v>
      </c>
      <c r="F164" s="2" t="str">
        <f aca="false">IF(Raw_Data!E164&lt;0,"Yes","No")</f>
        <v>No</v>
      </c>
      <c r="G164" s="2" t="n">
        <f aca="false">IF(Raw_Data!F164="",ROUND(AVERAGEIFS(Raw_Data!$F$2:$F$176,$C$2:$C$176,C164),2),Raw_Data!F164)</f>
        <v>1215.69</v>
      </c>
      <c r="H164" s="2" t="n">
        <f aca="false">Raw_Data!G164</f>
        <v>33</v>
      </c>
      <c r="I164" s="2" t="str">
        <f aca="false">IF(TRIM(Raw_Data!H164)="","Not Assigned",TRIM(Raw_Data!H164))</f>
        <v>Fine Goods Pvt Ltd</v>
      </c>
      <c r="J164" s="3" t="n">
        <f aca="false">DATE(VALUE(MID(SUBSTITUTE(Raw_Data!I164,"/","-"),7,4)),VALUE(MID(SUBSTITUTE(Raw_Data!I164,"/","-"),4,2)),VALUE(LEFT(SUBSTITUTE(Raw_Data!I164,"/","-"),2)))</f>
        <v>45702</v>
      </c>
      <c r="K164" s="2" t="str">
        <f aca="false">IF(COUNTIF(Raw_Data!$A$2:A164,Raw_Data!A164)&gt;1,"Duplicate - Remove","Keep")</f>
        <v>Keep</v>
      </c>
      <c r="L164" s="2" t="str">
        <f aca="false">IF(E164&lt;H164,"Reorder Needed","OK")</f>
        <v>OK</v>
      </c>
    </row>
    <row r="165" customFormat="false" ht="15" hidden="false" customHeight="false" outlineLevel="0" collapsed="false">
      <c r="A165" s="2" t="str">
        <f aca="false">Raw_Data!A165</f>
        <v>SKU1150</v>
      </c>
      <c r="B165" s="2" t="str">
        <f aca="false">TRIM(PROPER(Raw_Data!B165))</f>
        <v>Puzzle 100Pc</v>
      </c>
      <c r="C165" s="2" t="str">
        <f aca="false">PROPER(TRIM(Raw_Data!C165))</f>
        <v>Toys</v>
      </c>
      <c r="D165" s="2" t="str">
        <f aca="false">IF(ISNUMBER(SEARCH("north",Raw_Data!D165)),"WH-North",IF(ISNUMBER(SEARCH("south",Raw_Data!D165)),"WH-South",IF(ISNUMBER(SEARCH("east",Raw_Data!D165)),"WH-East",IF(ISNUMBER(SEARCH("west",Raw_Data!D165)),"WH-West","Unknown"))))</f>
        <v>WH-South</v>
      </c>
      <c r="E165" s="2" t="n">
        <f aca="false">IF(Raw_Data!E165&lt;0,0,Raw_Data!E165)</f>
        <v>138</v>
      </c>
      <c r="F165" s="2" t="str">
        <f aca="false">IF(Raw_Data!E165&lt;0,"Yes","No")</f>
        <v>No</v>
      </c>
      <c r="G165" s="2" t="n">
        <f aca="false">IF(Raw_Data!F165="",ROUND(AVERAGEIFS(Raw_Data!$F$2:$F$176,$C$2:$C$176,C165),2),Raw_Data!F165)</f>
        <v>897.55</v>
      </c>
      <c r="H165" s="2" t="n">
        <f aca="false">Raw_Data!G165</f>
        <v>29</v>
      </c>
      <c r="I165" s="2" t="str">
        <f aca="false">IF(TRIM(Raw_Data!H165)="","Not Assigned",TRIM(Raw_Data!H165))</f>
        <v>Not Assigned</v>
      </c>
      <c r="J165" s="3" t="n">
        <f aca="false">DATE(VALUE(MID(SUBSTITUTE(Raw_Data!I165,"/","-"),7,4)),VALUE(MID(SUBSTITUTE(Raw_Data!I165,"/","-"),4,2)),VALUE(LEFT(SUBSTITUTE(Raw_Data!I165,"/","-"),2)))</f>
        <v>45835</v>
      </c>
      <c r="K165" s="2" t="str">
        <f aca="false">IF(COUNTIF(Raw_Data!$A$2:A165,Raw_Data!A165)&gt;1,"Duplicate - Remove","Keep")</f>
        <v>Keep</v>
      </c>
      <c r="L165" s="2" t="str">
        <f aca="false">IF(E165&lt;H165,"Reorder Needed","OK")</f>
        <v>OK</v>
      </c>
    </row>
    <row r="166" customFormat="false" ht="15" hidden="false" customHeight="false" outlineLevel="0" collapsed="false">
      <c r="A166" s="2" t="str">
        <f aca="false">Raw_Data!A166</f>
        <v>SKU1056</v>
      </c>
      <c r="B166" s="2" t="str">
        <f aca="false">TRIM(PROPER(Raw_Data!B166))</f>
        <v>Room Heater 1000W</v>
      </c>
      <c r="C166" s="2" t="str">
        <f aca="false">PROPER(TRIM(Raw_Data!C166))</f>
        <v>Home Appliances</v>
      </c>
      <c r="D166" s="2" t="str">
        <f aca="false">IF(ISNUMBER(SEARCH("north",Raw_Data!D166)),"WH-North",IF(ISNUMBER(SEARCH("south",Raw_Data!D166)),"WH-South",IF(ISNUMBER(SEARCH("east",Raw_Data!D166)),"WH-East",IF(ISNUMBER(SEARCH("west",Raw_Data!D166)),"WH-West","Unknown"))))</f>
        <v>WH-West</v>
      </c>
      <c r="E166" s="2" t="n">
        <f aca="false">IF(Raw_Data!E166&lt;0,0,Raw_Data!E166)</f>
        <v>143</v>
      </c>
      <c r="F166" s="2" t="str">
        <f aca="false">IF(Raw_Data!E166&lt;0,"Yes","No")</f>
        <v>No</v>
      </c>
      <c r="G166" s="2" t="n">
        <f aca="false">IF(Raw_Data!F166="",ROUND(AVERAGEIFS(Raw_Data!$F$2:$F$176,$C$2:$C$176,C166),2),Raw_Data!F166)</f>
        <v>3682.49</v>
      </c>
      <c r="H166" s="2" t="n">
        <f aca="false">Raw_Data!G166</f>
        <v>34</v>
      </c>
      <c r="I166" s="2" t="str">
        <f aca="false">IF(TRIM(Raw_Data!H166)="","Not Assigned",TRIM(Raw_Data!H166))</f>
        <v>Fine Goods Pvt Ltd</v>
      </c>
      <c r="J166" s="3" t="n">
        <f aca="false">DATE(VALUE(MID(SUBSTITUTE(Raw_Data!I166,"/","-"),7,4)),VALUE(MID(SUBSTITUTE(Raw_Data!I166,"/","-"),4,2)),VALUE(LEFT(SUBSTITUTE(Raw_Data!I166,"/","-"),2)))</f>
        <v>45777</v>
      </c>
      <c r="K166" s="2" t="str">
        <f aca="false">IF(COUNTIF(Raw_Data!$A$2:A166,Raw_Data!A166)&gt;1,"Duplicate - Remove","Keep")</f>
        <v>Keep</v>
      </c>
      <c r="L166" s="2" t="str">
        <f aca="false">IF(E166&lt;H166,"Reorder Needed","OK")</f>
        <v>OK</v>
      </c>
    </row>
    <row r="167" customFormat="false" ht="15" hidden="false" customHeight="false" outlineLevel="0" collapsed="false">
      <c r="A167" s="2" t="str">
        <f aca="false">Raw_Data!A167</f>
        <v>SKU1062</v>
      </c>
      <c r="B167" s="2" t="str">
        <f aca="false">TRIM(PROPER(Raw_Data!B167))</f>
        <v>Plastic Chair</v>
      </c>
      <c r="C167" s="2" t="str">
        <f aca="false">PROPER(TRIM(Raw_Data!C167))</f>
        <v>Furniture</v>
      </c>
      <c r="D167" s="2" t="str">
        <f aca="false">IF(ISNUMBER(SEARCH("north",Raw_Data!D167)),"WH-North",IF(ISNUMBER(SEARCH("south",Raw_Data!D167)),"WH-South",IF(ISNUMBER(SEARCH("east",Raw_Data!D167)),"WH-East",IF(ISNUMBER(SEARCH("west",Raw_Data!D167)),"WH-West","Unknown"))))</f>
        <v>WH-South</v>
      </c>
      <c r="E167" s="2" t="n">
        <f aca="false">IF(Raw_Data!E167&lt;0,0,Raw_Data!E167)</f>
        <v>149</v>
      </c>
      <c r="F167" s="2" t="str">
        <f aca="false">IF(Raw_Data!E167&lt;0,"Yes","No")</f>
        <v>No</v>
      </c>
      <c r="G167" s="2" t="n">
        <f aca="false">IF(Raw_Data!F167="",ROUND(AVERAGEIFS(Raw_Data!$F$2:$F$176,$C$2:$C$176,C167),2),Raw_Data!F167)</f>
        <v>1780.89</v>
      </c>
      <c r="H167" s="2" t="n">
        <f aca="false">Raw_Data!G167</f>
        <v>19</v>
      </c>
      <c r="I167" s="2" t="str">
        <f aca="false">IF(TRIM(Raw_Data!H167)="","Not Assigned",TRIM(Raw_Data!H167))</f>
        <v>Global Supply Co</v>
      </c>
      <c r="J167" s="3" t="n">
        <f aca="false">DATE(VALUE(MID(SUBSTITUTE(Raw_Data!I167,"/","-"),7,4)),VALUE(MID(SUBSTITUTE(Raw_Data!I167,"/","-"),4,2)),VALUE(LEFT(SUBSTITUTE(Raw_Data!I167,"/","-"),2)))</f>
        <v>45750</v>
      </c>
      <c r="K167" s="2" t="str">
        <f aca="false">IF(COUNTIF(Raw_Data!$A$2:A167,Raw_Data!A167)&gt;1,"Duplicate - Remove","Keep")</f>
        <v>Keep</v>
      </c>
      <c r="L167" s="2" t="str">
        <f aca="false">IF(E167&lt;H167,"Reorder Needed","OK")</f>
        <v>OK</v>
      </c>
    </row>
    <row r="168" customFormat="false" ht="15" hidden="false" customHeight="false" outlineLevel="0" collapsed="false">
      <c r="A168" s="2" t="str">
        <f aca="false">Raw_Data!A168</f>
        <v>SKU1118</v>
      </c>
      <c r="B168" s="2" t="str">
        <f aca="false">TRIM(PROPER(Raw_Data!B168))</f>
        <v>Winter Jacket</v>
      </c>
      <c r="C168" s="2" t="str">
        <f aca="false">PROPER(TRIM(Raw_Data!C168))</f>
        <v>Apparel</v>
      </c>
      <c r="D168" s="2" t="str">
        <f aca="false">IF(ISNUMBER(SEARCH("north",Raw_Data!D168)),"WH-North",IF(ISNUMBER(SEARCH("south",Raw_Data!D168)),"WH-South",IF(ISNUMBER(SEARCH("east",Raw_Data!D168)),"WH-East",IF(ISNUMBER(SEARCH("west",Raw_Data!D168)),"WH-West","Unknown"))))</f>
        <v>WH-South</v>
      </c>
      <c r="E168" s="2" t="n">
        <f aca="false">IF(Raw_Data!E168&lt;0,0,Raw_Data!E168)</f>
        <v>240</v>
      </c>
      <c r="F168" s="2" t="str">
        <f aca="false">IF(Raw_Data!E168&lt;0,"Yes","No")</f>
        <v>No</v>
      </c>
      <c r="G168" s="2" t="n">
        <f aca="false">IF(Raw_Data!F168="",ROUND(AVERAGEIFS(Raw_Data!$F$2:$F$176,$C$2:$C$176,C168),2),Raw_Data!F168)</f>
        <v>3683.09</v>
      </c>
      <c r="H168" s="2" t="n">
        <f aca="false">Raw_Data!G168</f>
        <v>12</v>
      </c>
      <c r="I168" s="2" t="str">
        <f aca="false">IF(TRIM(Raw_Data!H168)="","Not Assigned",TRIM(Raw_Data!H168))</f>
        <v>Fine Goods Pvt Ltd</v>
      </c>
      <c r="J168" s="3" t="n">
        <f aca="false">DATE(VALUE(MID(SUBSTITUTE(Raw_Data!I168,"/","-"),7,4)),VALUE(MID(SUBSTITUTE(Raw_Data!I168,"/","-"),4,2)),VALUE(LEFT(SUBSTITUTE(Raw_Data!I168,"/","-"),2)))</f>
        <v>45874</v>
      </c>
      <c r="K168" s="2" t="str">
        <f aca="false">IF(COUNTIF(Raw_Data!$A$2:A168,Raw_Data!A168)&gt;1,"Duplicate - Remove","Keep")</f>
        <v>Keep</v>
      </c>
      <c r="L168" s="2" t="str">
        <f aca="false">IF(E168&lt;H168,"Reorder Needed","OK")</f>
        <v>OK</v>
      </c>
    </row>
    <row r="169" customFormat="false" ht="15" hidden="false" customHeight="false" outlineLevel="0" collapsed="false">
      <c r="A169" s="2" t="str">
        <f aca="false">Raw_Data!A169</f>
        <v>SKU1130</v>
      </c>
      <c r="B169" s="2" t="str">
        <f aca="false">TRIM(PROPER(Raw_Data!B169))</f>
        <v>Pressure Cooker 3L</v>
      </c>
      <c r="C169" s="2" t="str">
        <f aca="false">PROPER(TRIM(Raw_Data!C169))</f>
        <v>Kitchenware</v>
      </c>
      <c r="D169" s="2" t="str">
        <f aca="false">IF(ISNUMBER(SEARCH("north",Raw_Data!D169)),"WH-North",IF(ISNUMBER(SEARCH("south",Raw_Data!D169)),"WH-South",IF(ISNUMBER(SEARCH("east",Raw_Data!D169)),"WH-East",IF(ISNUMBER(SEARCH("west",Raw_Data!D169)),"WH-West","Unknown"))))</f>
        <v>WH-South</v>
      </c>
      <c r="E169" s="2" t="n">
        <f aca="false">IF(Raw_Data!E169&lt;0,0,Raw_Data!E169)</f>
        <v>274</v>
      </c>
      <c r="F169" s="2" t="str">
        <f aca="false">IF(Raw_Data!E169&lt;0,"Yes","No")</f>
        <v>No</v>
      </c>
      <c r="G169" s="2" t="n">
        <f aca="false">IF(Raw_Data!F169="",ROUND(AVERAGEIFS(Raw_Data!$F$2:$F$176,$C$2:$C$176,C169),2),Raw_Data!F169)</f>
        <v>1380.22</v>
      </c>
      <c r="H169" s="2" t="n">
        <f aca="false">Raw_Data!G169</f>
        <v>34</v>
      </c>
      <c r="I169" s="2" t="str">
        <f aca="false">IF(TRIM(Raw_Data!H169)="","Not Assigned",TRIM(Raw_Data!H169))</f>
        <v>Nova Wholesale</v>
      </c>
      <c r="J169" s="3" t="n">
        <f aca="false">DATE(VALUE(MID(SUBSTITUTE(Raw_Data!I169,"/","-"),7,4)),VALUE(MID(SUBSTITUTE(Raw_Data!I169,"/","-"),4,2)),VALUE(LEFT(SUBSTITUTE(Raw_Data!I169,"/","-"),2)))</f>
        <v>45691</v>
      </c>
      <c r="K169" s="2" t="str">
        <f aca="false">IF(COUNTIF(Raw_Data!$A$2:A169,Raw_Data!A169)&gt;1,"Duplicate - Remove","Keep")</f>
        <v>Keep</v>
      </c>
      <c r="L169" s="2" t="str">
        <f aca="false">IF(E169&lt;H169,"Reorder Needed","OK")</f>
        <v>OK</v>
      </c>
    </row>
    <row r="170" customFormat="false" ht="15" hidden="false" customHeight="false" outlineLevel="0" collapsed="false">
      <c r="A170" s="2" t="str">
        <f aca="false">Raw_Data!A170</f>
        <v>SKU1101</v>
      </c>
      <c r="B170" s="2" t="str">
        <f aca="false">TRIM(PROPER(Raw_Data!B170))</f>
        <v>Cotton T-Shirt</v>
      </c>
      <c r="C170" s="2" t="str">
        <f aca="false">PROPER(TRIM(Raw_Data!C170))</f>
        <v>Apparel</v>
      </c>
      <c r="D170" s="2" t="str">
        <f aca="false">IF(ISNUMBER(SEARCH("north",Raw_Data!D170)),"WH-North",IF(ISNUMBER(SEARCH("south",Raw_Data!D170)),"WH-South",IF(ISNUMBER(SEARCH("east",Raw_Data!D170)),"WH-East",IF(ISNUMBER(SEARCH("west",Raw_Data!D170)),"WH-West","Unknown"))))</f>
        <v>WH-North</v>
      </c>
      <c r="E170" s="2" t="n">
        <f aca="false">IF(Raw_Data!E170&lt;0,0,Raw_Data!E170)</f>
        <v>133</v>
      </c>
      <c r="F170" s="2" t="str">
        <f aca="false">IF(Raw_Data!E170&lt;0,"Yes","No")</f>
        <v>No</v>
      </c>
      <c r="G170" s="2" t="n">
        <f aca="false">IF(Raw_Data!F170="",ROUND(AVERAGEIFS(Raw_Data!$F$2:$F$176,$C$2:$C$176,C170),2),Raw_Data!F170)</f>
        <v>484.21</v>
      </c>
      <c r="H170" s="2" t="n">
        <f aca="false">Raw_Data!G170</f>
        <v>37</v>
      </c>
      <c r="I170" s="2" t="str">
        <f aca="false">IF(TRIM(Raw_Data!H170)="","Not Assigned",TRIM(Raw_Data!H170))</f>
        <v>Not Assigned</v>
      </c>
      <c r="J170" s="3" t="n">
        <f aca="false">DATE(VALUE(MID(SUBSTITUTE(Raw_Data!I170,"/","-"),7,4)),VALUE(MID(SUBSTITUTE(Raw_Data!I170,"/","-"),4,2)),VALUE(LEFT(SUBSTITUTE(Raw_Data!I170,"/","-"),2)))</f>
        <v>45691</v>
      </c>
      <c r="K170" s="2" t="str">
        <f aca="false">IF(COUNTIF(Raw_Data!$A$2:A170,Raw_Data!A170)&gt;1,"Duplicate - Remove","Keep")</f>
        <v>Keep</v>
      </c>
      <c r="L170" s="2" t="str">
        <f aca="false">IF(E170&lt;H170,"Reorder Needed","OK")</f>
        <v>OK</v>
      </c>
    </row>
    <row r="171" customFormat="false" ht="15" hidden="false" customHeight="false" outlineLevel="0" collapsed="false">
      <c r="A171" s="2" t="str">
        <f aca="false">Raw_Data!A171</f>
        <v>SKU1024</v>
      </c>
      <c r="B171" s="2" t="str">
        <f aca="false">TRIM(PROPER(Raw_Data!B171))</f>
        <v>Gel Pen Blue</v>
      </c>
      <c r="C171" s="2" t="str">
        <f aca="false">PROPER(TRIM(Raw_Data!C171))</f>
        <v>Stationery</v>
      </c>
      <c r="D171" s="2" t="str">
        <f aca="false">IF(ISNUMBER(SEARCH("north",Raw_Data!D171)),"WH-North",IF(ISNUMBER(SEARCH("south",Raw_Data!D171)),"WH-South",IF(ISNUMBER(SEARCH("east",Raw_Data!D171)),"WH-East",IF(ISNUMBER(SEARCH("west",Raw_Data!D171)),"WH-West","Unknown"))))</f>
        <v>WH-West</v>
      </c>
      <c r="E171" s="2" t="n">
        <f aca="false">IF(Raw_Data!E171&lt;0,0,Raw_Data!E171)</f>
        <v>138</v>
      </c>
      <c r="F171" s="2" t="str">
        <f aca="false">IF(Raw_Data!E171&lt;0,"Yes","No")</f>
        <v>No</v>
      </c>
      <c r="G171" s="2" t="n">
        <f aca="false">IF(Raw_Data!F171="",ROUND(AVERAGEIFS(Raw_Data!$F$2:$F$176,$C$2:$C$176,C171),2),Raw_Data!F171)</f>
        <v>2878.96</v>
      </c>
      <c r="H171" s="2" t="n">
        <f aca="false">Raw_Data!G171</f>
        <v>17</v>
      </c>
      <c r="I171" s="2" t="str">
        <f aca="false">IF(TRIM(Raw_Data!H171)="","Not Assigned",TRIM(Raw_Data!H171))</f>
        <v>Metro Distributors</v>
      </c>
      <c r="J171" s="3" t="n">
        <f aca="false">DATE(VALUE(MID(SUBSTITUTE(Raw_Data!I171,"/","-"),7,4)),VALUE(MID(SUBSTITUTE(Raw_Data!I171,"/","-"),4,2)),VALUE(LEFT(SUBSTITUTE(Raw_Data!I171,"/","-"),2)))</f>
        <v>45759</v>
      </c>
      <c r="K171" s="2" t="str">
        <f aca="false">IF(COUNTIF(Raw_Data!$A$2:A171,Raw_Data!A171)&gt;1,"Duplicate - Remove","Keep")</f>
        <v>Keep</v>
      </c>
      <c r="L171" s="2" t="str">
        <f aca="false">IF(E171&lt;H171,"Reorder Needed","OK")</f>
        <v>OK</v>
      </c>
    </row>
    <row r="172" customFormat="false" ht="15" hidden="false" customHeight="false" outlineLevel="0" collapsed="false">
      <c r="A172" s="2" t="str">
        <f aca="false">Raw_Data!A172</f>
        <v>SKU1006</v>
      </c>
      <c r="B172" s="2" t="str">
        <f aca="false">TRIM(PROPER(Raw_Data!B172))</f>
        <v>Usb Cable Type-C</v>
      </c>
      <c r="C172" s="2" t="str">
        <f aca="false">PROPER(TRIM(Raw_Data!C172))</f>
        <v>Electronics</v>
      </c>
      <c r="D172" s="2" t="str">
        <f aca="false">IF(ISNUMBER(SEARCH("north",Raw_Data!D172)),"WH-North",IF(ISNUMBER(SEARCH("south",Raw_Data!D172)),"WH-South",IF(ISNUMBER(SEARCH("east",Raw_Data!D172)),"WH-East",IF(ISNUMBER(SEARCH("west",Raw_Data!D172)),"WH-West","Unknown"))))</f>
        <v>WH-South</v>
      </c>
      <c r="E172" s="2" t="n">
        <f aca="false">IF(Raw_Data!E172&lt;0,0,Raw_Data!E172)</f>
        <v>186</v>
      </c>
      <c r="F172" s="2" t="str">
        <f aca="false">IF(Raw_Data!E172&lt;0,"Yes","No")</f>
        <v>No</v>
      </c>
      <c r="G172" s="2" t="n">
        <f aca="false">IF(Raw_Data!F172="",ROUND(AVERAGEIFS(Raw_Data!$F$2:$F$176,$C$2:$C$176,C172),2),Raw_Data!F172)</f>
        <v>1104.56</v>
      </c>
      <c r="H172" s="2" t="n">
        <f aca="false">Raw_Data!G172</f>
        <v>39</v>
      </c>
      <c r="I172" s="2" t="str">
        <f aca="false">IF(TRIM(Raw_Data!H172)="","Not Assigned",TRIM(Raw_Data!H172))</f>
        <v>Prime Vendors</v>
      </c>
      <c r="J172" s="3" t="n">
        <f aca="false">DATE(VALUE(MID(SUBSTITUTE(Raw_Data!I172,"/","-"),7,4)),VALUE(MID(SUBSTITUTE(Raw_Data!I172,"/","-"),4,2)),VALUE(LEFT(SUBSTITUTE(Raw_Data!I172,"/","-"),2)))</f>
        <v>45823</v>
      </c>
      <c r="K172" s="2" t="str">
        <f aca="false">IF(COUNTIF(Raw_Data!$A$2:A172,Raw_Data!A172)&gt;1,"Duplicate - Remove","Keep")</f>
        <v>Keep</v>
      </c>
      <c r="L172" s="2" t="str">
        <f aca="false">IF(E172&lt;H172,"Reorder Needed","OK")</f>
        <v>OK</v>
      </c>
    </row>
    <row r="173" customFormat="false" ht="15" hidden="false" customHeight="false" outlineLevel="0" collapsed="false">
      <c r="A173" s="2" t="str">
        <f aca="false">Raw_Data!A173</f>
        <v>SKU1128</v>
      </c>
      <c r="B173" s="2" t="str">
        <f aca="false">TRIM(PROPER(Raw_Data!B173))</f>
        <v>Steel Tiffin Box</v>
      </c>
      <c r="C173" s="2" t="str">
        <f aca="false">PROPER(TRIM(Raw_Data!C173))</f>
        <v>Kitchenware</v>
      </c>
      <c r="D173" s="2" t="str">
        <f aca="false">IF(ISNUMBER(SEARCH("north",Raw_Data!D173)),"WH-North",IF(ISNUMBER(SEARCH("south",Raw_Data!D173)),"WH-South",IF(ISNUMBER(SEARCH("east",Raw_Data!D173)),"WH-East",IF(ISNUMBER(SEARCH("west",Raw_Data!D173)),"WH-West","Unknown"))))</f>
        <v>WH-West</v>
      </c>
      <c r="E173" s="2" t="n">
        <f aca="false">IF(Raw_Data!E173&lt;0,0,Raw_Data!E173)</f>
        <v>70</v>
      </c>
      <c r="F173" s="2" t="str">
        <f aca="false">IF(Raw_Data!E173&lt;0,"Yes","No")</f>
        <v>No</v>
      </c>
      <c r="G173" s="2" t="n">
        <f aca="false">IF(Raw_Data!F173="",ROUND(AVERAGEIFS(Raw_Data!$F$2:$F$176,$C$2:$C$176,C173),2),Raw_Data!F173)</f>
        <v>3324.39</v>
      </c>
      <c r="H173" s="2" t="n">
        <f aca="false">Raw_Data!G173</f>
        <v>33</v>
      </c>
      <c r="I173" s="2" t="str">
        <f aca="false">IF(TRIM(Raw_Data!H173)="","Not Assigned",TRIM(Raw_Data!H173))</f>
        <v>Not Assigned</v>
      </c>
      <c r="J173" s="3" t="n">
        <f aca="false">DATE(VALUE(MID(SUBSTITUTE(Raw_Data!I173,"/","-"),7,4)),VALUE(MID(SUBSTITUTE(Raw_Data!I173,"/","-"),4,2)),VALUE(LEFT(SUBSTITUTE(Raw_Data!I173,"/","-"),2)))</f>
        <v>45891</v>
      </c>
      <c r="K173" s="2" t="str">
        <f aca="false">IF(COUNTIF(Raw_Data!$A$2:A173,Raw_Data!A173)&gt;1,"Duplicate - Remove","Keep")</f>
        <v>Keep</v>
      </c>
      <c r="L173" s="2" t="str">
        <f aca="false">IF(E173&lt;H173,"Reorder Needed","OK")</f>
        <v>OK</v>
      </c>
    </row>
    <row r="174" customFormat="false" ht="15" hidden="false" customHeight="false" outlineLevel="0" collapsed="false">
      <c r="A174" s="2" t="str">
        <f aca="false">Raw_Data!A174</f>
        <v>SKU1079</v>
      </c>
      <c r="B174" s="2" t="str">
        <f aca="false">TRIM(PROPER(Raw_Data!B174))</f>
        <v>Storage Rack</v>
      </c>
      <c r="C174" s="2" t="str">
        <f aca="false">PROPER(TRIM(Raw_Data!C174))</f>
        <v>Furniture</v>
      </c>
      <c r="D174" s="2" t="str">
        <f aca="false">IF(ISNUMBER(SEARCH("north",Raw_Data!D174)),"WH-North",IF(ISNUMBER(SEARCH("south",Raw_Data!D174)),"WH-South",IF(ISNUMBER(SEARCH("east",Raw_Data!D174)),"WH-East",IF(ISNUMBER(SEARCH("west",Raw_Data!D174)),"WH-West","Unknown"))))</f>
        <v>WH-East</v>
      </c>
      <c r="E174" s="2" t="n">
        <f aca="false">IF(Raw_Data!E174&lt;0,0,Raw_Data!E174)</f>
        <v>255</v>
      </c>
      <c r="F174" s="2" t="str">
        <f aca="false">IF(Raw_Data!E174&lt;0,"Yes","No")</f>
        <v>No</v>
      </c>
      <c r="G174" s="2" t="n">
        <f aca="false">IF(Raw_Data!F174="",ROUND(AVERAGEIFS(Raw_Data!$F$2:$F$176,$C$2:$C$176,C174),2),Raw_Data!F174)</f>
        <v>1813.86</v>
      </c>
      <c r="H174" s="2" t="n">
        <f aca="false">Raw_Data!G174</f>
        <v>25</v>
      </c>
      <c r="I174" s="2" t="str">
        <f aca="false">IF(TRIM(Raw_Data!H174)="","Not Assigned",TRIM(Raw_Data!H174))</f>
        <v>Metro Distributors</v>
      </c>
      <c r="J174" s="3" t="n">
        <f aca="false">DATE(VALUE(MID(SUBSTITUTE(Raw_Data!I174,"/","-"),7,4)),VALUE(MID(SUBSTITUTE(Raw_Data!I174,"/","-"),4,2)),VALUE(LEFT(SUBSTITUTE(Raw_Data!I174,"/","-"),2)))</f>
        <v>45743</v>
      </c>
      <c r="K174" s="2" t="str">
        <f aca="false">IF(COUNTIF(Raw_Data!$A$2:A174,Raw_Data!A174)&gt;1,"Duplicate - Remove","Keep")</f>
        <v>Keep</v>
      </c>
      <c r="L174" s="2" t="str">
        <f aca="false">IF(E174&lt;H174,"Reorder Needed","OK")</f>
        <v>OK</v>
      </c>
    </row>
    <row r="175" customFormat="false" ht="15" hidden="false" customHeight="false" outlineLevel="0" collapsed="false">
      <c r="A175" s="2" t="str">
        <f aca="false">Raw_Data!A175</f>
        <v>SKU1128</v>
      </c>
      <c r="B175" s="2" t="str">
        <f aca="false">TRIM(PROPER(Raw_Data!B175))</f>
        <v>Steel Tiffin Box</v>
      </c>
      <c r="C175" s="2" t="str">
        <f aca="false">PROPER(TRIM(Raw_Data!C175))</f>
        <v>Kitchenware</v>
      </c>
      <c r="D175" s="2" t="str">
        <f aca="false">IF(ISNUMBER(SEARCH("north",Raw_Data!D175)),"WH-North",IF(ISNUMBER(SEARCH("south",Raw_Data!D175)),"WH-South",IF(ISNUMBER(SEARCH("east",Raw_Data!D175)),"WH-East",IF(ISNUMBER(SEARCH("west",Raw_Data!D175)),"WH-West","Unknown"))))</f>
        <v>WH-West</v>
      </c>
      <c r="E175" s="2" t="n">
        <f aca="false">IF(Raw_Data!E175&lt;0,0,Raw_Data!E175)</f>
        <v>70</v>
      </c>
      <c r="F175" s="2" t="str">
        <f aca="false">IF(Raw_Data!E175&lt;0,"Yes","No")</f>
        <v>No</v>
      </c>
      <c r="G175" s="2" t="n">
        <f aca="false">IF(Raw_Data!F175="",ROUND(AVERAGEIFS(Raw_Data!$F$2:$F$176,$C$2:$C$176,C175),2),Raw_Data!F175)</f>
        <v>3324.39</v>
      </c>
      <c r="H175" s="2" t="n">
        <f aca="false">Raw_Data!G175</f>
        <v>33</v>
      </c>
      <c r="I175" s="2" t="str">
        <f aca="false">IF(TRIM(Raw_Data!H175)="","Not Assigned",TRIM(Raw_Data!H175))</f>
        <v>Not Assigned</v>
      </c>
      <c r="J175" s="3" t="n">
        <f aca="false">DATE(VALUE(MID(SUBSTITUTE(Raw_Data!I175,"/","-"),7,4)),VALUE(MID(SUBSTITUTE(Raw_Data!I175,"/","-"),4,2)),VALUE(LEFT(SUBSTITUTE(Raw_Data!I175,"/","-"),2)))</f>
        <v>45891</v>
      </c>
      <c r="K175" s="2" t="str">
        <f aca="false">IF(COUNTIF(Raw_Data!$A$2:A175,Raw_Data!A175)&gt;1,"Duplicate - Remove","Keep")</f>
        <v>Duplicate - Remove</v>
      </c>
      <c r="L175" s="2" t="str">
        <f aca="false">IF(E175&lt;H175,"Reorder Needed","OK")</f>
        <v>OK</v>
      </c>
    </row>
    <row r="176" customFormat="false" ht="15" hidden="false" customHeight="false" outlineLevel="0" collapsed="false">
      <c r="A176" s="2" t="str">
        <f aca="false">Raw_Data!A176</f>
        <v>SKU1120</v>
      </c>
      <c r="B176" s="2" t="str">
        <f aca="false">TRIM(PROPER(Raw_Data!B176))</f>
        <v>Winter Jacket</v>
      </c>
      <c r="C176" s="2" t="str">
        <f aca="false">PROPER(TRIM(Raw_Data!C176))</f>
        <v>Apparel</v>
      </c>
      <c r="D176" s="2" t="str">
        <f aca="false">IF(ISNUMBER(SEARCH("north",Raw_Data!D176)),"WH-North",IF(ISNUMBER(SEARCH("south",Raw_Data!D176)),"WH-South",IF(ISNUMBER(SEARCH("east",Raw_Data!D176)),"WH-East",IF(ISNUMBER(SEARCH("west",Raw_Data!D176)),"WH-West","Unknown"))))</f>
        <v>WH-West</v>
      </c>
      <c r="E176" s="2" t="n">
        <f aca="false">IF(Raw_Data!E176&lt;0,0,Raw_Data!E176)</f>
        <v>80</v>
      </c>
      <c r="F176" s="2" t="str">
        <f aca="false">IF(Raw_Data!E176&lt;0,"Yes","No")</f>
        <v>No</v>
      </c>
      <c r="G176" s="2" t="n">
        <f aca="false">IF(Raw_Data!F176="",ROUND(AVERAGEIFS(Raw_Data!$F$2:$F$176,$C$2:$C$176,C176),2),Raw_Data!F176)</f>
        <v>628.45</v>
      </c>
      <c r="H176" s="2" t="n">
        <f aca="false">Raw_Data!G176</f>
        <v>16</v>
      </c>
      <c r="I176" s="2" t="str">
        <f aca="false">IF(TRIM(Raw_Data!H176)="","Not Assigned",TRIM(Raw_Data!H176))</f>
        <v>Global Supply Co</v>
      </c>
      <c r="J176" s="3" t="n">
        <f aca="false">DATE(VALUE(MID(SUBSTITUTE(Raw_Data!I176,"/","-"),7,4)),VALUE(MID(SUBSTITUTE(Raw_Data!I176,"/","-"),4,2)),VALUE(LEFT(SUBSTITUTE(Raw_Data!I176,"/","-"),2)))</f>
        <v>45812</v>
      </c>
      <c r="K176" s="2" t="str">
        <f aca="false">IF(COUNTIF(Raw_Data!$A$2:A176,Raw_Data!A176)&gt;1,"Duplicate - Remove","Keep")</f>
        <v>Keep</v>
      </c>
      <c r="L176" s="2" t="str">
        <f aca="false">IF(E176&lt;H176,"Reorder Needed","OK")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" t="s">
        <v>416</v>
      </c>
      <c r="B1" s="1" t="s">
        <v>417</v>
      </c>
    </row>
    <row r="2" customFormat="false" ht="45" hidden="false" customHeight="true" outlineLevel="0" collapsed="false">
      <c r="A2" s="4" t="s">
        <v>418</v>
      </c>
      <c r="B2" s="4" t="s">
        <v>419</v>
      </c>
    </row>
    <row r="3" customFormat="false" ht="45" hidden="false" customHeight="true" outlineLevel="0" collapsed="false">
      <c r="A3" s="4" t="s">
        <v>420</v>
      </c>
      <c r="B3" s="4" t="s">
        <v>421</v>
      </c>
    </row>
    <row r="4" customFormat="false" ht="45" hidden="false" customHeight="true" outlineLevel="0" collapsed="false">
      <c r="A4" s="4" t="s">
        <v>422</v>
      </c>
      <c r="B4" s="4" t="s">
        <v>423</v>
      </c>
    </row>
    <row r="5" customFormat="false" ht="45" hidden="false" customHeight="true" outlineLevel="0" collapsed="false">
      <c r="A5" s="4" t="s">
        <v>424</v>
      </c>
      <c r="B5" s="4" t="s">
        <v>425</v>
      </c>
    </row>
    <row r="6" customFormat="false" ht="45" hidden="false" customHeight="true" outlineLevel="0" collapsed="false">
      <c r="A6" s="4" t="s">
        <v>426</v>
      </c>
      <c r="B6" s="4" t="s">
        <v>427</v>
      </c>
    </row>
    <row r="7" customFormat="false" ht="45" hidden="false" customHeight="true" outlineLevel="0" collapsed="false">
      <c r="A7" s="4" t="s">
        <v>428</v>
      </c>
      <c r="B7" s="4" t="s">
        <v>429</v>
      </c>
    </row>
    <row r="8" customFormat="false" ht="45" hidden="false" customHeight="true" outlineLevel="0" collapsed="false">
      <c r="A8" s="4" t="s">
        <v>430</v>
      </c>
      <c r="B8" s="4" t="s">
        <v>431</v>
      </c>
    </row>
    <row r="9" customFormat="false" ht="45" hidden="false" customHeight="true" outlineLevel="0" collapsed="false">
      <c r="A9" s="4" t="s">
        <v>432</v>
      </c>
      <c r="B9" s="4" t="s">
        <v>433</v>
      </c>
    </row>
    <row r="10" customFormat="false" ht="45" hidden="false" customHeight="true" outlineLevel="0" collapsed="false">
      <c r="A10" s="4" t="s">
        <v>434</v>
      </c>
      <c r="B10" s="4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2026-09-18T04:31:51Z</dcterms:created>
  <dc:creator>openpyxl</dc:creator>
  <dc:description/>
  <dc:language>en-US</dc:language>
  <cp:lastModifiedBy/>
  <dcterms:modified xsi:type="dcterms:W3CDTF">2026-09-18T04:31:51Z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